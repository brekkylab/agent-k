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원본데이터" sheetId="1" state="visible" r:id="rId1"/>
    <sheet name="월별요약" sheetId="2" state="visible" r:id="rId2"/>
    <sheet name="대시보드" sheetId="3" state="visible" r:id="rId3"/>
  </sheets>
  <definedNames>
    <definedName name="거래일자_R">'원본데이터'!$A$4:$A$103</definedName>
    <definedName name="지역_R">'원본데이터'!$D$4:$D$103</definedName>
    <definedName name="카테고리_R">'원본데이터'!$E$4:$E$103</definedName>
    <definedName name="최종금액_R">'원본데이터'!$K$4:$K$103</definedName>
    <definedName name="주문번호_R">'원본데이터'!$B$4:$B$103</definedName>
    <definedName name="_xlnm._FilterDatabase" localSheetId="0" hidden="1">'원본데이터'!$A$3:$L$103</definedName>
    <definedName name="_xlnm.Print_Area" localSheetId="2">'대시보드'!$B$2:$M$40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_-₩* #,##0_-;-₩* #,##0_-;_-₩* &quot;-&quot;_-;_-@_-"/>
    <numFmt numFmtId="166" formatCode="0.0%"/>
    <numFmt numFmtId="167" formatCode="₩#,##0"/>
    <numFmt numFmtId="168" formatCode="#,##0&quot;건&quot;"/>
  </numFmts>
  <fonts count="8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</font>
    <font>
      <i val="1"/>
      <color rgb="00666666"/>
    </font>
    <font>
      <b val="1"/>
      <color rgb="00FFFFFF"/>
      <sz val="20"/>
    </font>
    <font>
      <b val="1"/>
      <color rgb="00FFFFFF"/>
      <sz val="12"/>
    </font>
    <font>
      <b val="1"/>
      <color rgb="001F4E78"/>
      <sz val="16"/>
    </font>
  </fonts>
  <fills count="10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1F4E78"/>
        <bgColor rgb="001F4E78"/>
      </patternFill>
    </fill>
    <fill>
      <patternFill patternType="solid">
        <fgColor rgb="00F4F6F8"/>
        <bgColor rgb="00F4F6F8"/>
      </patternFill>
    </fill>
    <fill>
      <patternFill patternType="solid">
        <fgColor rgb="00305496"/>
        <bgColor rgb="0030549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2E75B6"/>
        <bgColor rgb="002E75B6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164" fontId="2" fillId="4" borderId="1" pivotButton="0" quotePrefix="0" xfId="0"/>
    <xf numFmtId="0" fontId="2" fillId="4" borderId="1" pivotButton="0" quotePrefix="0" xfId="0"/>
    <xf numFmtId="3" fontId="2" fillId="4" borderId="1" pivotButton="0" quotePrefix="0" xfId="0"/>
    <xf numFmtId="165" fontId="2" fillId="4" borderId="1" pivotButton="0" quotePrefix="0" xfId="0"/>
    <xf numFmtId="164" fontId="2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5" borderId="0" pivotButton="0" quotePrefix="0" xfId="0"/>
    <xf numFmtId="165" fontId="1" fillId="5" borderId="0" pivotButton="0" quotePrefix="0" xfId="0"/>
    <xf numFmtId="3" fontId="1" fillId="5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0" fillId="0" borderId="2" pivotButton="0" quotePrefix="0" xfId="0"/>
    <xf numFmtId="167" fontId="0" fillId="0" borderId="0" pivotButton="0" quotePrefix="0" xfId="0"/>
    <xf numFmtId="167" fontId="7" fillId="9" borderId="2" applyAlignment="1" pivotButton="0" quotePrefix="0" xfId="0">
      <alignment horizontal="center" vertical="center"/>
    </xf>
    <xf numFmtId="49" fontId="7" fillId="9" borderId="2" applyAlignment="1" pivotButton="0" quotePrefix="0" xfId="0">
      <alignment horizontal="center" vertical="center"/>
    </xf>
    <xf numFmtId="168" fontId="7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월별 매출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'대시보드'!Q4</f>
            </strRef>
          </tx>
          <spPr>
            <a:ln>
              <a:prstDash val="solid"/>
            </a:ln>
          </spPr>
          <cat>
            <numRef>
              <f>'대시보드'!$P$5:$P$16</f>
            </numRef>
          </cat>
          <val>
            <numRef>
              <f>'대시보드'!$Q$5:$Q$16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매출(₩)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지역 TOP5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'대시보드'!Q18</f>
            </strRef>
          </tx>
          <spPr>
            <a:ln>
              <a:prstDash val="solid"/>
            </a:ln>
          </spPr>
          <cat>
            <numRef>
              <f>'대시보드'!$P$19:$P$23</f>
            </numRef>
          </cat>
          <val>
            <numRef>
              <f>'대시보드'!$Q$19:$Q$23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매출(₩)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지역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0" customWidth="1" min="4" max="4"/>
    <col width="16" customWidth="1" min="5" max="5"/>
    <col width="14" customWidth="1" min="6" max="6"/>
    <col width="10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📋 거래내역 원본데이터 (2026년)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0" customHeight="1"/>
    <row r="3" ht="22" customHeight="1">
      <c r="A3" s="2" t="inlineStr">
        <is>
          <t>거래일자</t>
        </is>
      </c>
      <c r="B3" s="2" t="inlineStr">
        <is>
          <t>주문번호</t>
        </is>
      </c>
      <c r="C3" s="2" t="inlineStr">
        <is>
          <t>고객명</t>
        </is>
      </c>
      <c r="D3" s="2" t="inlineStr">
        <is>
          <t>지역</t>
        </is>
      </c>
      <c r="E3" s="2" t="inlineStr">
        <is>
          <t>상품카테고리</t>
        </is>
      </c>
      <c r="F3" s="2" t="inlineStr">
        <is>
          <t>상품명</t>
        </is>
      </c>
      <c r="G3" s="2" t="inlineStr">
        <is>
          <t>수량</t>
        </is>
      </c>
      <c r="H3" s="2" t="inlineStr">
        <is>
          <t>단가</t>
        </is>
      </c>
      <c r="I3" s="2" t="inlineStr">
        <is>
          <t>공급가액</t>
        </is>
      </c>
      <c r="J3" s="2" t="inlineStr">
        <is>
          <t>부가세</t>
        </is>
      </c>
      <c r="K3" s="2" t="inlineStr">
        <is>
          <t>최종금액</t>
        </is>
      </c>
      <c r="L3" s="2" t="inlineStr">
        <is>
          <t>담당자</t>
        </is>
      </c>
    </row>
    <row r="4" ht="20" customHeight="1">
      <c r="A4" s="3" t="n">
        <v>46032</v>
      </c>
      <c r="B4" s="4" t="inlineStr">
        <is>
          <t>ORD-2026-0001</t>
        </is>
      </c>
      <c r="C4" s="4" t="inlineStr">
        <is>
          <t>안서윤</t>
        </is>
      </c>
      <c r="D4" s="4" t="inlineStr">
        <is>
          <t>서울</t>
        </is>
      </c>
      <c r="E4" s="4" t="inlineStr">
        <is>
          <t>가구</t>
        </is>
      </c>
      <c r="F4" s="4" t="inlineStr">
        <is>
          <t>의자</t>
        </is>
      </c>
      <c r="G4" s="5" t="n">
        <v>2</v>
      </c>
      <c r="H4" s="6" t="n">
        <v>733000</v>
      </c>
      <c r="I4" s="6">
        <f>G4*H4</f>
        <v/>
      </c>
      <c r="J4" s="6">
        <f>I4*0.1</f>
        <v/>
      </c>
      <c r="K4" s="6">
        <f>I4+J4</f>
        <v/>
      </c>
      <c r="L4" s="4" t="inlineStr">
        <is>
          <t>박팀장</t>
        </is>
      </c>
    </row>
    <row r="5" ht="20" customHeight="1">
      <c r="A5" s="7" t="n">
        <v>46038</v>
      </c>
      <c r="B5" s="8" t="inlineStr">
        <is>
          <t>ORD-2026-0002</t>
        </is>
      </c>
      <c r="C5" s="8" t="inlineStr">
        <is>
          <t>윤지유</t>
        </is>
      </c>
      <c r="D5" s="8" t="inlineStr">
        <is>
          <t>부산</t>
        </is>
      </c>
      <c r="E5" s="8" t="inlineStr">
        <is>
          <t>전자제품</t>
        </is>
      </c>
      <c r="F5" s="8" t="inlineStr">
        <is>
          <t>스마트워치</t>
        </is>
      </c>
      <c r="G5" s="9" t="n">
        <v>3</v>
      </c>
      <c r="H5" s="10" t="n">
        <v>1301000</v>
      </c>
      <c r="I5" s="10">
        <f>G5*H5</f>
        <v/>
      </c>
      <c r="J5" s="10">
        <f>I5*0.1</f>
        <v/>
      </c>
      <c r="K5" s="10">
        <f>I5+J5</f>
        <v/>
      </c>
      <c r="L5" s="8" t="inlineStr">
        <is>
          <t>김대리</t>
        </is>
      </c>
    </row>
    <row r="6" ht="20" customHeight="1">
      <c r="A6" s="3" t="n">
        <v>46044</v>
      </c>
      <c r="B6" s="4" t="inlineStr">
        <is>
          <t>ORD-2026-0003</t>
        </is>
      </c>
      <c r="C6" s="4" t="inlineStr">
        <is>
          <t>서예준</t>
        </is>
      </c>
      <c r="D6" s="4" t="inlineStr">
        <is>
          <t>세종</t>
        </is>
      </c>
      <c r="E6" s="4" t="inlineStr">
        <is>
          <t>패션</t>
        </is>
      </c>
      <c r="F6" s="4" t="inlineStr">
        <is>
          <t>가방</t>
        </is>
      </c>
      <c r="G6" s="5" t="n">
        <v>2</v>
      </c>
      <c r="H6" s="6" t="n">
        <v>295000</v>
      </c>
      <c r="I6" s="6">
        <f>G6*H6</f>
        <v/>
      </c>
      <c r="J6" s="6">
        <f>I6*0.1</f>
        <v/>
      </c>
      <c r="K6" s="6">
        <f>I6+J6</f>
        <v/>
      </c>
      <c r="L6" s="4" t="inlineStr">
        <is>
          <t>강매니저</t>
        </is>
      </c>
    </row>
    <row r="7" ht="20" customHeight="1">
      <c r="A7" s="7" t="n">
        <v>46058</v>
      </c>
      <c r="B7" s="8" t="inlineStr">
        <is>
          <t>ORD-2026-0004</t>
        </is>
      </c>
      <c r="C7" s="8" t="inlineStr">
        <is>
          <t>문가은</t>
        </is>
      </c>
      <c r="D7" s="8" t="inlineStr">
        <is>
          <t>경기</t>
        </is>
      </c>
      <c r="E7" s="8" t="inlineStr">
        <is>
          <t>도서</t>
        </is>
      </c>
      <c r="F7" s="8" t="inlineStr">
        <is>
          <t>자기계발</t>
        </is>
      </c>
      <c r="G7" s="9" t="n">
        <v>7</v>
      </c>
      <c r="H7" s="10" t="n">
        <v>18000</v>
      </c>
      <c r="I7" s="10">
        <f>G7*H7</f>
        <v/>
      </c>
      <c r="J7" s="10">
        <f>I7*0.1</f>
        <v/>
      </c>
      <c r="K7" s="10">
        <f>I7+J7</f>
        <v/>
      </c>
      <c r="L7" s="8" t="inlineStr">
        <is>
          <t>정사원</t>
        </is>
      </c>
    </row>
    <row r="8" ht="20" customHeight="1">
      <c r="A8" s="3" t="n">
        <v>46060</v>
      </c>
      <c r="B8" s="4" t="inlineStr">
        <is>
          <t>ORD-2026-0005</t>
        </is>
      </c>
      <c r="C8" s="4" t="inlineStr">
        <is>
          <t>김민준</t>
        </is>
      </c>
      <c r="D8" s="4" t="inlineStr">
        <is>
          <t>울산</t>
        </is>
      </c>
      <c r="E8" s="4" t="inlineStr">
        <is>
          <t>식품</t>
        </is>
      </c>
      <c r="F8" s="4" t="inlineStr">
        <is>
          <t>건강식품</t>
        </is>
      </c>
      <c r="G8" s="5" t="n">
        <v>2</v>
      </c>
      <c r="H8" s="6" t="n">
        <v>29000</v>
      </c>
      <c r="I8" s="6">
        <f>G8*H8</f>
        <v/>
      </c>
      <c r="J8" s="6">
        <f>I8*0.1</f>
        <v/>
      </c>
      <c r="K8" s="6">
        <f>I8+J8</f>
        <v/>
      </c>
      <c r="L8" s="4" t="inlineStr">
        <is>
          <t>정사원</t>
        </is>
      </c>
    </row>
    <row r="9" ht="20" customHeight="1">
      <c r="A9" s="7" t="n">
        <v>46061</v>
      </c>
      <c r="B9" s="8" t="inlineStr">
        <is>
          <t>ORD-2026-0006</t>
        </is>
      </c>
      <c r="C9" s="8" t="inlineStr">
        <is>
          <t>정도윤</t>
        </is>
      </c>
      <c r="D9" s="8" t="inlineStr">
        <is>
          <t>세종</t>
        </is>
      </c>
      <c r="E9" s="8" t="inlineStr">
        <is>
          <t>전자제품</t>
        </is>
      </c>
      <c r="F9" s="8" t="inlineStr">
        <is>
          <t>태블릿</t>
        </is>
      </c>
      <c r="G9" s="9" t="n">
        <v>10</v>
      </c>
      <c r="H9" s="10" t="n">
        <v>921000</v>
      </c>
      <c r="I9" s="10">
        <f>G9*H9</f>
        <v/>
      </c>
      <c r="J9" s="10">
        <f>I9*0.1</f>
        <v/>
      </c>
      <c r="K9" s="10">
        <f>I9+J9</f>
        <v/>
      </c>
      <c r="L9" s="8" t="inlineStr">
        <is>
          <t>최주임</t>
        </is>
      </c>
    </row>
    <row r="10" ht="20" customHeight="1">
      <c r="A10" s="3" t="n">
        <v>46067</v>
      </c>
      <c r="B10" s="4" t="inlineStr">
        <is>
          <t>ORD-2026-0007</t>
        </is>
      </c>
      <c r="C10" s="4" t="inlineStr">
        <is>
          <t>장은우</t>
        </is>
      </c>
      <c r="D10" s="4" t="inlineStr">
        <is>
          <t>울산</t>
        </is>
      </c>
      <c r="E10" s="4" t="inlineStr">
        <is>
          <t>가전</t>
        </is>
      </c>
      <c r="F10" s="4" t="inlineStr">
        <is>
          <t>TV</t>
        </is>
      </c>
      <c r="G10" s="5" t="n">
        <v>10</v>
      </c>
      <c r="H10" s="6" t="n">
        <v>2760000</v>
      </c>
      <c r="I10" s="6">
        <f>G10*H10</f>
        <v/>
      </c>
      <c r="J10" s="6">
        <f>I10*0.1</f>
        <v/>
      </c>
      <c r="K10" s="6">
        <f>I10+J10</f>
        <v/>
      </c>
      <c r="L10" s="4" t="inlineStr">
        <is>
          <t>강매니저</t>
        </is>
      </c>
    </row>
    <row r="11" ht="20" customHeight="1">
      <c r="A11" s="7" t="n">
        <v>46070</v>
      </c>
      <c r="B11" s="8" t="inlineStr">
        <is>
          <t>ORD-2026-0008</t>
        </is>
      </c>
      <c r="C11" s="8" t="inlineStr">
        <is>
          <t>오시현</t>
        </is>
      </c>
      <c r="D11" s="8" t="inlineStr">
        <is>
          <t>경기</t>
        </is>
      </c>
      <c r="E11" s="8" t="inlineStr">
        <is>
          <t>가구</t>
        </is>
      </c>
      <c r="F11" s="8" t="inlineStr">
        <is>
          <t>소파</t>
        </is>
      </c>
      <c r="G11" s="9" t="n">
        <v>10</v>
      </c>
      <c r="H11" s="10" t="n">
        <v>327000</v>
      </c>
      <c r="I11" s="10">
        <f>G11*H11</f>
        <v/>
      </c>
      <c r="J11" s="10">
        <f>I11*0.1</f>
        <v/>
      </c>
      <c r="K11" s="10">
        <f>I11+J11</f>
        <v/>
      </c>
      <c r="L11" s="8" t="inlineStr">
        <is>
          <t>박팀장</t>
        </is>
      </c>
    </row>
    <row r="12" ht="20" customHeight="1">
      <c r="A12" s="3" t="n">
        <v>46075</v>
      </c>
      <c r="B12" s="4" t="inlineStr">
        <is>
          <t>ORD-2026-0009</t>
        </is>
      </c>
      <c r="C12" s="4" t="inlineStr">
        <is>
          <t>안서윤</t>
        </is>
      </c>
      <c r="D12" s="4" t="inlineStr">
        <is>
          <t>경기</t>
        </is>
      </c>
      <c r="E12" s="4" t="inlineStr">
        <is>
          <t>식품</t>
        </is>
      </c>
      <c r="F12" s="4" t="inlineStr">
        <is>
          <t>와인</t>
        </is>
      </c>
      <c r="G12" s="5" t="n">
        <v>1</v>
      </c>
      <c r="H12" s="6" t="n">
        <v>18000</v>
      </c>
      <c r="I12" s="6">
        <f>G12*H12</f>
        <v/>
      </c>
      <c r="J12" s="6">
        <f>I12*0.1</f>
        <v/>
      </c>
      <c r="K12" s="6">
        <f>I12+J12</f>
        <v/>
      </c>
      <c r="L12" s="4" t="inlineStr">
        <is>
          <t>박팀장</t>
        </is>
      </c>
    </row>
    <row r="13" ht="20" customHeight="1">
      <c r="A13" s="7" t="n">
        <v>46077</v>
      </c>
      <c r="B13" s="8" t="inlineStr">
        <is>
          <t>ORD-2026-0010</t>
        </is>
      </c>
      <c r="C13" s="8" t="inlineStr">
        <is>
          <t>안서윤</t>
        </is>
      </c>
      <c r="D13" s="8" t="inlineStr">
        <is>
          <t>인천</t>
        </is>
      </c>
      <c r="E13" s="8" t="inlineStr">
        <is>
          <t>가구</t>
        </is>
      </c>
      <c r="F13" s="8" t="inlineStr">
        <is>
          <t>소파</t>
        </is>
      </c>
      <c r="G13" s="9" t="n">
        <v>10</v>
      </c>
      <c r="H13" s="10" t="n">
        <v>271000</v>
      </c>
      <c r="I13" s="10">
        <f>G13*H13</f>
        <v/>
      </c>
      <c r="J13" s="10">
        <f>I13*0.1</f>
        <v/>
      </c>
      <c r="K13" s="10">
        <f>I13+J13</f>
        <v/>
      </c>
      <c r="L13" s="8" t="inlineStr">
        <is>
          <t>강매니저</t>
        </is>
      </c>
    </row>
    <row r="14" ht="20" customHeight="1">
      <c r="A14" s="3" t="n">
        <v>46088</v>
      </c>
      <c r="B14" s="4" t="inlineStr">
        <is>
          <t>ORD-2026-0011</t>
        </is>
      </c>
      <c r="C14" s="4" t="inlineStr">
        <is>
          <t>이서연</t>
        </is>
      </c>
      <c r="D14" s="4" t="inlineStr">
        <is>
          <t>대구</t>
        </is>
      </c>
      <c r="E14" s="4" t="inlineStr">
        <is>
          <t>가구</t>
        </is>
      </c>
      <c r="F14" s="4" t="inlineStr">
        <is>
          <t>책상</t>
        </is>
      </c>
      <c r="G14" s="5" t="n">
        <v>6</v>
      </c>
      <c r="H14" s="6" t="n">
        <v>270000</v>
      </c>
      <c r="I14" s="6">
        <f>G14*H14</f>
        <v/>
      </c>
      <c r="J14" s="6">
        <f>I14*0.1</f>
        <v/>
      </c>
      <c r="K14" s="6">
        <f>I14+J14</f>
        <v/>
      </c>
      <c r="L14" s="4" t="inlineStr">
        <is>
          <t>강매니저</t>
        </is>
      </c>
    </row>
    <row r="15" ht="20" customHeight="1">
      <c r="A15" s="7" t="n">
        <v>46098</v>
      </c>
      <c r="B15" s="8" t="inlineStr">
        <is>
          <t>ORD-2026-0012</t>
        </is>
      </c>
      <c r="C15" s="8" t="inlineStr">
        <is>
          <t>김민준</t>
        </is>
      </c>
      <c r="D15" s="8" t="inlineStr">
        <is>
          <t>서울</t>
        </is>
      </c>
      <c r="E15" s="8" t="inlineStr">
        <is>
          <t>가전</t>
        </is>
      </c>
      <c r="F15" s="8" t="inlineStr">
        <is>
          <t>TV</t>
        </is>
      </c>
      <c r="G15" s="9" t="n">
        <v>10</v>
      </c>
      <c r="H15" s="10" t="n">
        <v>505000</v>
      </c>
      <c r="I15" s="10">
        <f>G15*H15</f>
        <v/>
      </c>
      <c r="J15" s="10">
        <f>I15*0.1</f>
        <v/>
      </c>
      <c r="K15" s="10">
        <f>I15+J15</f>
        <v/>
      </c>
      <c r="L15" s="8" t="inlineStr">
        <is>
          <t>최주임</t>
        </is>
      </c>
    </row>
    <row r="16" ht="20" customHeight="1">
      <c r="A16" s="3" t="n">
        <v>46098</v>
      </c>
      <c r="B16" s="4" t="inlineStr">
        <is>
          <t>ORD-2026-0013</t>
        </is>
      </c>
      <c r="C16" s="4" t="inlineStr">
        <is>
          <t>김민준</t>
        </is>
      </c>
      <c r="D16" s="4" t="inlineStr">
        <is>
          <t>경기</t>
        </is>
      </c>
      <c r="E16" s="4" t="inlineStr">
        <is>
          <t>패션</t>
        </is>
      </c>
      <c r="F16" s="4" t="inlineStr">
        <is>
          <t>운동화</t>
        </is>
      </c>
      <c r="G16" s="5" t="n">
        <v>3</v>
      </c>
      <c r="H16" s="6" t="n">
        <v>395000</v>
      </c>
      <c r="I16" s="6">
        <f>G16*H16</f>
        <v/>
      </c>
      <c r="J16" s="6">
        <f>I16*0.1</f>
        <v/>
      </c>
      <c r="K16" s="6">
        <f>I16+J16</f>
        <v/>
      </c>
      <c r="L16" s="4" t="inlineStr">
        <is>
          <t>정사원</t>
        </is>
      </c>
    </row>
    <row r="17" ht="20" customHeight="1">
      <c r="A17" s="7" t="n">
        <v>46100</v>
      </c>
      <c r="B17" s="8" t="inlineStr">
        <is>
          <t>ORD-2026-0014</t>
        </is>
      </c>
      <c r="C17" s="8" t="inlineStr">
        <is>
          <t>윤지유</t>
        </is>
      </c>
      <c r="D17" s="8" t="inlineStr">
        <is>
          <t>광주</t>
        </is>
      </c>
      <c r="E17" s="8" t="inlineStr">
        <is>
          <t>도서</t>
        </is>
      </c>
      <c r="F17" s="8" t="inlineStr">
        <is>
          <t>자기계발</t>
        </is>
      </c>
      <c r="G17" s="9" t="n">
        <v>4</v>
      </c>
      <c r="H17" s="10" t="n">
        <v>14000</v>
      </c>
      <c r="I17" s="10">
        <f>G17*H17</f>
        <v/>
      </c>
      <c r="J17" s="10">
        <f>I17*0.1</f>
        <v/>
      </c>
      <c r="K17" s="10">
        <f>I17+J17</f>
        <v/>
      </c>
      <c r="L17" s="8" t="inlineStr">
        <is>
          <t>최주임</t>
        </is>
      </c>
    </row>
    <row r="18" ht="20" customHeight="1">
      <c r="A18" s="3" t="n">
        <v>46101</v>
      </c>
      <c r="B18" s="4" t="inlineStr">
        <is>
          <t>ORD-2026-0015</t>
        </is>
      </c>
      <c r="C18" s="4" t="inlineStr">
        <is>
          <t>강하은</t>
        </is>
      </c>
      <c r="D18" s="4" t="inlineStr">
        <is>
          <t>광주</t>
        </is>
      </c>
      <c r="E18" s="4" t="inlineStr">
        <is>
          <t>식품</t>
        </is>
      </c>
      <c r="F18" s="4" t="inlineStr">
        <is>
          <t>원두커피</t>
        </is>
      </c>
      <c r="G18" s="5" t="n">
        <v>7</v>
      </c>
      <c r="H18" s="6" t="n">
        <v>110000</v>
      </c>
      <c r="I18" s="6">
        <f>G18*H18</f>
        <v/>
      </c>
      <c r="J18" s="6">
        <f>I18*0.1</f>
        <v/>
      </c>
      <c r="K18" s="6">
        <f>I18+J18</f>
        <v/>
      </c>
      <c r="L18" s="4" t="inlineStr">
        <is>
          <t>정사원</t>
        </is>
      </c>
    </row>
    <row r="19" ht="20" customHeight="1">
      <c r="A19" s="7" t="n">
        <v>46104</v>
      </c>
      <c r="B19" s="8" t="inlineStr">
        <is>
          <t>ORD-2026-0016</t>
        </is>
      </c>
      <c r="C19" s="8" t="inlineStr">
        <is>
          <t>신지안</t>
        </is>
      </c>
      <c r="D19" s="8" t="inlineStr">
        <is>
          <t>대전</t>
        </is>
      </c>
      <c r="E19" s="8" t="inlineStr">
        <is>
          <t>가구</t>
        </is>
      </c>
      <c r="F19" s="8" t="inlineStr">
        <is>
          <t>의자</t>
        </is>
      </c>
      <c r="G19" s="9" t="n">
        <v>4</v>
      </c>
      <c r="H19" s="10" t="n">
        <v>403000</v>
      </c>
      <c r="I19" s="10">
        <f>G19*H19</f>
        <v/>
      </c>
      <c r="J19" s="10">
        <f>I19*0.1</f>
        <v/>
      </c>
      <c r="K19" s="10">
        <f>I19+J19</f>
        <v/>
      </c>
      <c r="L19" s="8" t="inlineStr">
        <is>
          <t>박팀장</t>
        </is>
      </c>
    </row>
    <row r="20" ht="20" customHeight="1">
      <c r="A20" s="3" t="n">
        <v>46106</v>
      </c>
      <c r="B20" s="4" t="inlineStr">
        <is>
          <t>ORD-2026-0017</t>
        </is>
      </c>
      <c r="C20" s="4" t="inlineStr">
        <is>
          <t>강하은</t>
        </is>
      </c>
      <c r="D20" s="4" t="inlineStr">
        <is>
          <t>광주</t>
        </is>
      </c>
      <c r="E20" s="4" t="inlineStr">
        <is>
          <t>전자제품</t>
        </is>
      </c>
      <c r="F20" s="4" t="inlineStr">
        <is>
          <t>스마트폰</t>
        </is>
      </c>
      <c r="G20" s="5" t="n">
        <v>6</v>
      </c>
      <c r="H20" s="6" t="n">
        <v>2027000</v>
      </c>
      <c r="I20" s="6">
        <f>G20*H20</f>
        <v/>
      </c>
      <c r="J20" s="6">
        <f>I20*0.1</f>
        <v/>
      </c>
      <c r="K20" s="6">
        <f>I20+J20</f>
        <v/>
      </c>
      <c r="L20" s="4" t="inlineStr">
        <is>
          <t>강매니저</t>
        </is>
      </c>
    </row>
    <row r="21" ht="20" customHeight="1">
      <c r="A21" s="7" t="n">
        <v>46107</v>
      </c>
      <c r="B21" s="8" t="inlineStr">
        <is>
          <t>ORD-2026-0018</t>
        </is>
      </c>
      <c r="C21" s="8" t="inlineStr">
        <is>
          <t>오시현</t>
        </is>
      </c>
      <c r="D21" s="8" t="inlineStr">
        <is>
          <t>서울</t>
        </is>
      </c>
      <c r="E21" s="8" t="inlineStr">
        <is>
          <t>패션</t>
        </is>
      </c>
      <c r="F21" s="8" t="inlineStr">
        <is>
          <t>가방</t>
        </is>
      </c>
      <c r="G21" s="9" t="n">
        <v>8</v>
      </c>
      <c r="H21" s="10" t="n">
        <v>180000</v>
      </c>
      <c r="I21" s="10">
        <f>G21*H21</f>
        <v/>
      </c>
      <c r="J21" s="10">
        <f>I21*0.1</f>
        <v/>
      </c>
      <c r="K21" s="10">
        <f>I21+J21</f>
        <v/>
      </c>
      <c r="L21" s="8" t="inlineStr">
        <is>
          <t>최주임</t>
        </is>
      </c>
    </row>
    <row r="22" ht="20" customHeight="1">
      <c r="A22" s="3" t="n">
        <v>46120</v>
      </c>
      <c r="B22" s="4" t="inlineStr">
        <is>
          <t>ORD-2026-0019</t>
        </is>
      </c>
      <c r="C22" s="4" t="inlineStr">
        <is>
          <t>안서윤</t>
        </is>
      </c>
      <c r="D22" s="4" t="inlineStr">
        <is>
          <t>울산</t>
        </is>
      </c>
      <c r="E22" s="4" t="inlineStr">
        <is>
          <t>가전</t>
        </is>
      </c>
      <c r="F22" s="4" t="inlineStr">
        <is>
          <t>TV</t>
        </is>
      </c>
      <c r="G22" s="5" t="n">
        <v>3</v>
      </c>
      <c r="H22" s="6" t="n">
        <v>1368000</v>
      </c>
      <c r="I22" s="6">
        <f>G22*H22</f>
        <v/>
      </c>
      <c r="J22" s="6">
        <f>I22*0.1</f>
        <v/>
      </c>
      <c r="K22" s="6">
        <f>I22+J22</f>
        <v/>
      </c>
      <c r="L22" s="4" t="inlineStr">
        <is>
          <t>최주임</t>
        </is>
      </c>
    </row>
    <row r="23" ht="20" customHeight="1">
      <c r="A23" s="7" t="n">
        <v>46120</v>
      </c>
      <c r="B23" s="8" t="inlineStr">
        <is>
          <t>ORD-2026-0020</t>
        </is>
      </c>
      <c r="C23" s="8" t="inlineStr">
        <is>
          <t>장은우</t>
        </is>
      </c>
      <c r="D23" s="8" t="inlineStr">
        <is>
          <t>서울</t>
        </is>
      </c>
      <c r="E23" s="8" t="inlineStr">
        <is>
          <t>도서</t>
        </is>
      </c>
      <c r="F23" s="8" t="inlineStr">
        <is>
          <t>아동도서</t>
        </is>
      </c>
      <c r="G23" s="9" t="n">
        <v>1</v>
      </c>
      <c r="H23" s="10" t="n">
        <v>44000</v>
      </c>
      <c r="I23" s="10">
        <f>G23*H23</f>
        <v/>
      </c>
      <c r="J23" s="10">
        <f>I23*0.1</f>
        <v/>
      </c>
      <c r="K23" s="10">
        <f>I23+J23</f>
        <v/>
      </c>
      <c r="L23" s="8" t="inlineStr">
        <is>
          <t>정사원</t>
        </is>
      </c>
    </row>
    <row r="24" ht="20" customHeight="1">
      <c r="A24" s="3" t="n">
        <v>46124</v>
      </c>
      <c r="B24" s="4" t="inlineStr">
        <is>
          <t>ORD-2026-0021</t>
        </is>
      </c>
      <c r="C24" s="4" t="inlineStr">
        <is>
          <t>정도윤</t>
        </is>
      </c>
      <c r="D24" s="4" t="inlineStr">
        <is>
          <t>대전</t>
        </is>
      </c>
      <c r="E24" s="4" t="inlineStr">
        <is>
          <t>가전</t>
        </is>
      </c>
      <c r="F24" s="4" t="inlineStr">
        <is>
          <t>청소기</t>
        </is>
      </c>
      <c r="G24" s="5" t="n">
        <v>9</v>
      </c>
      <c r="H24" s="6" t="n">
        <v>202000</v>
      </c>
      <c r="I24" s="6">
        <f>G24*H24</f>
        <v/>
      </c>
      <c r="J24" s="6">
        <f>I24*0.1</f>
        <v/>
      </c>
      <c r="K24" s="6">
        <f>I24+J24</f>
        <v/>
      </c>
      <c r="L24" s="4" t="inlineStr">
        <is>
          <t>정사원</t>
        </is>
      </c>
    </row>
    <row r="25" ht="20" customHeight="1">
      <c r="A25" s="7" t="n">
        <v>46131</v>
      </c>
      <c r="B25" s="8" t="inlineStr">
        <is>
          <t>ORD-2026-0022</t>
        </is>
      </c>
      <c r="C25" s="8" t="inlineStr">
        <is>
          <t>안서윤</t>
        </is>
      </c>
      <c r="D25" s="8" t="inlineStr">
        <is>
          <t>부산</t>
        </is>
      </c>
      <c r="E25" s="8" t="inlineStr">
        <is>
          <t>도서</t>
        </is>
      </c>
      <c r="F25" s="8" t="inlineStr">
        <is>
          <t>경제</t>
        </is>
      </c>
      <c r="G25" s="9" t="n">
        <v>7</v>
      </c>
      <c r="H25" s="10" t="n">
        <v>34000</v>
      </c>
      <c r="I25" s="10">
        <f>G25*H25</f>
        <v/>
      </c>
      <c r="J25" s="10">
        <f>I25*0.1</f>
        <v/>
      </c>
      <c r="K25" s="10">
        <f>I25+J25</f>
        <v/>
      </c>
      <c r="L25" s="8" t="inlineStr">
        <is>
          <t>최주임</t>
        </is>
      </c>
    </row>
    <row r="26" ht="20" customHeight="1">
      <c r="A26" s="3" t="n">
        <v>46132</v>
      </c>
      <c r="B26" s="4" t="inlineStr">
        <is>
          <t>ORD-2026-0023</t>
        </is>
      </c>
      <c r="C26" s="4" t="inlineStr">
        <is>
          <t>송준영</t>
        </is>
      </c>
      <c r="D26" s="4" t="inlineStr">
        <is>
          <t>대구</t>
        </is>
      </c>
      <c r="E26" s="4" t="inlineStr">
        <is>
          <t>가전</t>
        </is>
      </c>
      <c r="F26" s="4" t="inlineStr">
        <is>
          <t>에어컨</t>
        </is>
      </c>
      <c r="G26" s="5" t="n">
        <v>2</v>
      </c>
      <c r="H26" s="6" t="n">
        <v>1225000</v>
      </c>
      <c r="I26" s="6">
        <f>G26*H26</f>
        <v/>
      </c>
      <c r="J26" s="6">
        <f>I26*0.1</f>
        <v/>
      </c>
      <c r="K26" s="6">
        <f>I26+J26</f>
        <v/>
      </c>
      <c r="L26" s="4" t="inlineStr">
        <is>
          <t>이과장</t>
        </is>
      </c>
    </row>
    <row r="27" ht="20" customHeight="1">
      <c r="A27" s="7" t="n">
        <v>46134</v>
      </c>
      <c r="B27" s="8" t="inlineStr">
        <is>
          <t>ORD-2026-0024</t>
        </is>
      </c>
      <c r="C27" s="8" t="inlineStr">
        <is>
          <t>윤지유</t>
        </is>
      </c>
      <c r="D27" s="8" t="inlineStr">
        <is>
          <t>세종</t>
        </is>
      </c>
      <c r="E27" s="8" t="inlineStr">
        <is>
          <t>식품</t>
        </is>
      </c>
      <c r="F27" s="8" t="inlineStr">
        <is>
          <t>원두커피</t>
        </is>
      </c>
      <c r="G27" s="9" t="n">
        <v>9</v>
      </c>
      <c r="H27" s="10" t="n">
        <v>62000</v>
      </c>
      <c r="I27" s="10">
        <f>G27*H27</f>
        <v/>
      </c>
      <c r="J27" s="10">
        <f>I27*0.1</f>
        <v/>
      </c>
      <c r="K27" s="10">
        <f>I27+J27</f>
        <v/>
      </c>
      <c r="L27" s="8" t="inlineStr">
        <is>
          <t>강매니저</t>
        </is>
      </c>
    </row>
    <row r="28" ht="20" customHeight="1">
      <c r="A28" s="3" t="n">
        <v>46135</v>
      </c>
      <c r="B28" s="4" t="inlineStr">
        <is>
          <t>ORD-2026-0025</t>
        </is>
      </c>
      <c r="C28" s="4" t="inlineStr">
        <is>
          <t>장은우</t>
        </is>
      </c>
      <c r="D28" s="4" t="inlineStr">
        <is>
          <t>광주</t>
        </is>
      </c>
      <c r="E28" s="4" t="inlineStr">
        <is>
          <t>패션</t>
        </is>
      </c>
      <c r="F28" s="4" t="inlineStr">
        <is>
          <t>코트</t>
        </is>
      </c>
      <c r="G28" s="5" t="n">
        <v>7</v>
      </c>
      <c r="H28" s="6" t="n">
        <v>206000</v>
      </c>
      <c r="I28" s="6">
        <f>G28*H28</f>
        <v/>
      </c>
      <c r="J28" s="6">
        <f>I28*0.1</f>
        <v/>
      </c>
      <c r="K28" s="6">
        <f>I28+J28</f>
        <v/>
      </c>
      <c r="L28" s="4" t="inlineStr">
        <is>
          <t>강매니저</t>
        </is>
      </c>
    </row>
    <row r="29" ht="20" customHeight="1">
      <c r="A29" s="7" t="n">
        <v>46136</v>
      </c>
      <c r="B29" s="8" t="inlineStr">
        <is>
          <t>ORD-2026-0026</t>
        </is>
      </c>
      <c r="C29" s="8" t="inlineStr">
        <is>
          <t>조시우</t>
        </is>
      </c>
      <c r="D29" s="8" t="inlineStr">
        <is>
          <t>울산</t>
        </is>
      </c>
      <c r="E29" s="8" t="inlineStr">
        <is>
          <t>가구</t>
        </is>
      </c>
      <c r="F29" s="8" t="inlineStr">
        <is>
          <t>소파</t>
        </is>
      </c>
      <c r="G29" s="9" t="n">
        <v>4</v>
      </c>
      <c r="H29" s="10" t="n">
        <v>284000</v>
      </c>
      <c r="I29" s="10">
        <f>G29*H29</f>
        <v/>
      </c>
      <c r="J29" s="10">
        <f>I29*0.1</f>
        <v/>
      </c>
      <c r="K29" s="10">
        <f>I29+J29</f>
        <v/>
      </c>
      <c r="L29" s="8" t="inlineStr">
        <is>
          <t>박팀장</t>
        </is>
      </c>
    </row>
    <row r="30" ht="20" customHeight="1">
      <c r="A30" s="3" t="n">
        <v>46140</v>
      </c>
      <c r="B30" s="4" t="inlineStr">
        <is>
          <t>ORD-2026-0027</t>
        </is>
      </c>
      <c r="C30" s="4" t="inlineStr">
        <is>
          <t>이서연</t>
        </is>
      </c>
      <c r="D30" s="4" t="inlineStr">
        <is>
          <t>대전</t>
        </is>
      </c>
      <c r="E30" s="4" t="inlineStr">
        <is>
          <t>패션</t>
        </is>
      </c>
      <c r="F30" s="4" t="inlineStr">
        <is>
          <t>가방</t>
        </is>
      </c>
      <c r="G30" s="5" t="n">
        <v>2</v>
      </c>
      <c r="H30" s="6" t="n">
        <v>141000</v>
      </c>
      <c r="I30" s="6">
        <f>G30*H30</f>
        <v/>
      </c>
      <c r="J30" s="6">
        <f>I30*0.1</f>
        <v/>
      </c>
      <c r="K30" s="6">
        <f>I30+J30</f>
        <v/>
      </c>
      <c r="L30" s="4" t="inlineStr">
        <is>
          <t>정사원</t>
        </is>
      </c>
    </row>
    <row r="31" ht="20" customHeight="1">
      <c r="A31" s="7" t="n">
        <v>46144</v>
      </c>
      <c r="B31" s="8" t="inlineStr">
        <is>
          <t>ORD-2026-0028</t>
        </is>
      </c>
      <c r="C31" s="8" t="inlineStr">
        <is>
          <t>장은우</t>
        </is>
      </c>
      <c r="D31" s="8" t="inlineStr">
        <is>
          <t>울산</t>
        </is>
      </c>
      <c r="E31" s="8" t="inlineStr">
        <is>
          <t>가전</t>
        </is>
      </c>
      <c r="F31" s="8" t="inlineStr">
        <is>
          <t>청소기</t>
        </is>
      </c>
      <c r="G31" s="9" t="n">
        <v>3</v>
      </c>
      <c r="H31" s="10" t="n">
        <v>2595000</v>
      </c>
      <c r="I31" s="10">
        <f>G31*H31</f>
        <v/>
      </c>
      <c r="J31" s="10">
        <f>I31*0.1</f>
        <v/>
      </c>
      <c r="K31" s="10">
        <f>I31+J31</f>
        <v/>
      </c>
      <c r="L31" s="8" t="inlineStr">
        <is>
          <t>정사원</t>
        </is>
      </c>
    </row>
    <row r="32" ht="20" customHeight="1">
      <c r="A32" s="3" t="n">
        <v>46144</v>
      </c>
      <c r="B32" s="4" t="inlineStr">
        <is>
          <t>ORD-2026-0029</t>
        </is>
      </c>
      <c r="C32" s="4" t="inlineStr">
        <is>
          <t>강하은</t>
        </is>
      </c>
      <c r="D32" s="4" t="inlineStr">
        <is>
          <t>광주</t>
        </is>
      </c>
      <c r="E32" s="4" t="inlineStr">
        <is>
          <t>패션</t>
        </is>
      </c>
      <c r="F32" s="4" t="inlineStr">
        <is>
          <t>니트</t>
        </is>
      </c>
      <c r="G32" s="5" t="n">
        <v>4</v>
      </c>
      <c r="H32" s="6" t="n">
        <v>240000</v>
      </c>
      <c r="I32" s="6">
        <f>G32*H32</f>
        <v/>
      </c>
      <c r="J32" s="6">
        <f>I32*0.1</f>
        <v/>
      </c>
      <c r="K32" s="6">
        <f>I32+J32</f>
        <v/>
      </c>
      <c r="L32" s="4" t="inlineStr">
        <is>
          <t>박팀장</t>
        </is>
      </c>
    </row>
    <row r="33" ht="20" customHeight="1">
      <c r="A33" s="7" t="n">
        <v>46146</v>
      </c>
      <c r="B33" s="8" t="inlineStr">
        <is>
          <t>ORD-2026-0030</t>
        </is>
      </c>
      <c r="C33" s="8" t="inlineStr">
        <is>
          <t>유하준</t>
        </is>
      </c>
      <c r="D33" s="8" t="inlineStr">
        <is>
          <t>경기</t>
        </is>
      </c>
      <c r="E33" s="8" t="inlineStr">
        <is>
          <t>전자제품</t>
        </is>
      </c>
      <c r="F33" s="8" t="inlineStr">
        <is>
          <t>무선이어폰</t>
        </is>
      </c>
      <c r="G33" s="9" t="n">
        <v>2</v>
      </c>
      <c r="H33" s="10" t="n">
        <v>827000</v>
      </c>
      <c r="I33" s="10">
        <f>G33*H33</f>
        <v/>
      </c>
      <c r="J33" s="10">
        <f>I33*0.1</f>
        <v/>
      </c>
      <c r="K33" s="10">
        <f>I33+J33</f>
        <v/>
      </c>
      <c r="L33" s="8" t="inlineStr">
        <is>
          <t>김대리</t>
        </is>
      </c>
    </row>
    <row r="34" ht="20" customHeight="1">
      <c r="A34" s="3" t="n">
        <v>46149</v>
      </c>
      <c r="B34" s="4" t="inlineStr">
        <is>
          <t>ORD-2026-0031</t>
        </is>
      </c>
      <c r="C34" s="4" t="inlineStr">
        <is>
          <t>안서윤</t>
        </is>
      </c>
      <c r="D34" s="4" t="inlineStr">
        <is>
          <t>세종</t>
        </is>
      </c>
      <c r="E34" s="4" t="inlineStr">
        <is>
          <t>가구</t>
        </is>
      </c>
      <c r="F34" s="4" t="inlineStr">
        <is>
          <t>책장</t>
        </is>
      </c>
      <c r="G34" s="5" t="n">
        <v>7</v>
      </c>
      <c r="H34" s="6" t="n">
        <v>662000</v>
      </c>
      <c r="I34" s="6">
        <f>G34*H34</f>
        <v/>
      </c>
      <c r="J34" s="6">
        <f>I34*0.1</f>
        <v/>
      </c>
      <c r="K34" s="6">
        <f>I34+J34</f>
        <v/>
      </c>
      <c r="L34" s="4" t="inlineStr">
        <is>
          <t>최주임</t>
        </is>
      </c>
    </row>
    <row r="35" ht="20" customHeight="1">
      <c r="A35" s="7" t="n">
        <v>46149</v>
      </c>
      <c r="B35" s="8" t="inlineStr">
        <is>
          <t>ORD-2026-0032</t>
        </is>
      </c>
      <c r="C35" s="8" t="inlineStr">
        <is>
          <t>유하준</t>
        </is>
      </c>
      <c r="D35" s="8" t="inlineStr">
        <is>
          <t>강원</t>
        </is>
      </c>
      <c r="E35" s="8" t="inlineStr">
        <is>
          <t>전자제품</t>
        </is>
      </c>
      <c r="F35" s="8" t="inlineStr">
        <is>
          <t>스마트워치</t>
        </is>
      </c>
      <c r="G35" s="9" t="n">
        <v>2</v>
      </c>
      <c r="H35" s="10" t="n">
        <v>2058000</v>
      </c>
      <c r="I35" s="10">
        <f>G35*H35</f>
        <v/>
      </c>
      <c r="J35" s="10">
        <f>I35*0.1</f>
        <v/>
      </c>
      <c r="K35" s="10">
        <f>I35+J35</f>
        <v/>
      </c>
      <c r="L35" s="8" t="inlineStr">
        <is>
          <t>강매니저</t>
        </is>
      </c>
    </row>
    <row r="36" ht="20" customHeight="1">
      <c r="A36" s="3" t="n">
        <v>46150</v>
      </c>
      <c r="B36" s="4" t="inlineStr">
        <is>
          <t>ORD-2026-0033</t>
        </is>
      </c>
      <c r="C36" s="4" t="inlineStr">
        <is>
          <t>박지호</t>
        </is>
      </c>
      <c r="D36" s="4" t="inlineStr">
        <is>
          <t>울산</t>
        </is>
      </c>
      <c r="E36" s="4" t="inlineStr">
        <is>
          <t>식품</t>
        </is>
      </c>
      <c r="F36" s="4" t="inlineStr">
        <is>
          <t>원두커피</t>
        </is>
      </c>
      <c r="G36" s="5" t="n">
        <v>1</v>
      </c>
      <c r="H36" s="6" t="n">
        <v>14000</v>
      </c>
      <c r="I36" s="6">
        <f>G36*H36</f>
        <v/>
      </c>
      <c r="J36" s="6">
        <f>I36*0.1</f>
        <v/>
      </c>
      <c r="K36" s="6">
        <f>I36+J36</f>
        <v/>
      </c>
      <c r="L36" s="4" t="inlineStr">
        <is>
          <t>박팀장</t>
        </is>
      </c>
    </row>
    <row r="37" ht="20" customHeight="1">
      <c r="A37" s="7" t="n">
        <v>46150</v>
      </c>
      <c r="B37" s="8" t="inlineStr">
        <is>
          <t>ORD-2026-0034</t>
        </is>
      </c>
      <c r="C37" s="8" t="inlineStr">
        <is>
          <t>최수아</t>
        </is>
      </c>
      <c r="D37" s="8" t="inlineStr">
        <is>
          <t>대전</t>
        </is>
      </c>
      <c r="E37" s="8" t="inlineStr">
        <is>
          <t>식품</t>
        </is>
      </c>
      <c r="F37" s="8" t="inlineStr">
        <is>
          <t>와인</t>
        </is>
      </c>
      <c r="G37" s="9" t="n">
        <v>10</v>
      </c>
      <c r="H37" s="10" t="n">
        <v>51000</v>
      </c>
      <c r="I37" s="10">
        <f>G37*H37</f>
        <v/>
      </c>
      <c r="J37" s="10">
        <f>I37*0.1</f>
        <v/>
      </c>
      <c r="K37" s="10">
        <f>I37+J37</f>
        <v/>
      </c>
      <c r="L37" s="8" t="inlineStr">
        <is>
          <t>김대리</t>
        </is>
      </c>
    </row>
    <row r="38" ht="20" customHeight="1">
      <c r="A38" s="3" t="n">
        <v>46150</v>
      </c>
      <c r="B38" s="4" t="inlineStr">
        <is>
          <t>ORD-2026-0035</t>
        </is>
      </c>
      <c r="C38" s="4" t="inlineStr">
        <is>
          <t>장은우</t>
        </is>
      </c>
      <c r="D38" s="4" t="inlineStr">
        <is>
          <t>인천</t>
        </is>
      </c>
      <c r="E38" s="4" t="inlineStr">
        <is>
          <t>도서</t>
        </is>
      </c>
      <c r="F38" s="4" t="inlineStr">
        <is>
          <t>소설</t>
        </is>
      </c>
      <c r="G38" s="5" t="n">
        <v>7</v>
      </c>
      <c r="H38" s="6" t="n">
        <v>13000</v>
      </c>
      <c r="I38" s="6">
        <f>G38*H38</f>
        <v/>
      </c>
      <c r="J38" s="6">
        <f>I38*0.1</f>
        <v/>
      </c>
      <c r="K38" s="6">
        <f>I38+J38</f>
        <v/>
      </c>
      <c r="L38" s="4" t="inlineStr">
        <is>
          <t>최주임</t>
        </is>
      </c>
    </row>
    <row r="39" ht="20" customHeight="1">
      <c r="A39" s="7" t="n">
        <v>46156</v>
      </c>
      <c r="B39" s="8" t="inlineStr">
        <is>
          <t>ORD-2026-0036</t>
        </is>
      </c>
      <c r="C39" s="8" t="inlineStr">
        <is>
          <t>강하은</t>
        </is>
      </c>
      <c r="D39" s="8" t="inlineStr">
        <is>
          <t>강원</t>
        </is>
      </c>
      <c r="E39" s="8" t="inlineStr">
        <is>
          <t>가구</t>
        </is>
      </c>
      <c r="F39" s="8" t="inlineStr">
        <is>
          <t>책상</t>
        </is>
      </c>
      <c r="G39" s="9" t="n">
        <v>2</v>
      </c>
      <c r="H39" s="10" t="n">
        <v>676000</v>
      </c>
      <c r="I39" s="10">
        <f>G39*H39</f>
        <v/>
      </c>
      <c r="J39" s="10">
        <f>I39*0.1</f>
        <v/>
      </c>
      <c r="K39" s="10">
        <f>I39+J39</f>
        <v/>
      </c>
      <c r="L39" s="8" t="inlineStr">
        <is>
          <t>최주임</t>
        </is>
      </c>
    </row>
    <row r="40" ht="20" customHeight="1">
      <c r="A40" s="3" t="n">
        <v>46157</v>
      </c>
      <c r="B40" s="4" t="inlineStr">
        <is>
          <t>ORD-2026-0037</t>
        </is>
      </c>
      <c r="C40" s="4" t="inlineStr">
        <is>
          <t>송준영</t>
        </is>
      </c>
      <c r="D40" s="4" t="inlineStr">
        <is>
          <t>인천</t>
        </is>
      </c>
      <c r="E40" s="4" t="inlineStr">
        <is>
          <t>식품</t>
        </is>
      </c>
      <c r="F40" s="4" t="inlineStr">
        <is>
          <t>원두커피</t>
        </is>
      </c>
      <c r="G40" s="5" t="n">
        <v>5</v>
      </c>
      <c r="H40" s="6" t="n">
        <v>143000</v>
      </c>
      <c r="I40" s="6">
        <f>G40*H40</f>
        <v/>
      </c>
      <c r="J40" s="6">
        <f>I40*0.1</f>
        <v/>
      </c>
      <c r="K40" s="6">
        <f>I40+J40</f>
        <v/>
      </c>
      <c r="L40" s="4" t="inlineStr">
        <is>
          <t>정사원</t>
        </is>
      </c>
    </row>
    <row r="41" ht="20" customHeight="1">
      <c r="A41" s="7" t="n">
        <v>46157</v>
      </c>
      <c r="B41" s="8" t="inlineStr">
        <is>
          <t>ORD-2026-0038</t>
        </is>
      </c>
      <c r="C41" s="8" t="inlineStr">
        <is>
          <t>강하은</t>
        </is>
      </c>
      <c r="D41" s="8" t="inlineStr">
        <is>
          <t>울산</t>
        </is>
      </c>
      <c r="E41" s="8" t="inlineStr">
        <is>
          <t>식품</t>
        </is>
      </c>
      <c r="F41" s="8" t="inlineStr">
        <is>
          <t>와인</t>
        </is>
      </c>
      <c r="G41" s="9" t="n">
        <v>9</v>
      </c>
      <c r="H41" s="10" t="n">
        <v>13000</v>
      </c>
      <c r="I41" s="10">
        <f>G41*H41</f>
        <v/>
      </c>
      <c r="J41" s="10">
        <f>I41*0.1</f>
        <v/>
      </c>
      <c r="K41" s="10">
        <f>I41+J41</f>
        <v/>
      </c>
      <c r="L41" s="8" t="inlineStr">
        <is>
          <t>박팀장</t>
        </is>
      </c>
    </row>
    <row r="42" ht="20" customHeight="1">
      <c r="A42" s="3" t="n">
        <v>46168</v>
      </c>
      <c r="B42" s="4" t="inlineStr">
        <is>
          <t>ORD-2026-0039</t>
        </is>
      </c>
      <c r="C42" s="4" t="inlineStr">
        <is>
          <t>강하은</t>
        </is>
      </c>
      <c r="D42" s="4" t="inlineStr">
        <is>
          <t>울산</t>
        </is>
      </c>
      <c r="E42" s="4" t="inlineStr">
        <is>
          <t>식품</t>
        </is>
      </c>
      <c r="F42" s="4" t="inlineStr">
        <is>
          <t>견과류세트</t>
        </is>
      </c>
      <c r="G42" s="5" t="n">
        <v>10</v>
      </c>
      <c r="H42" s="6" t="n">
        <v>149000</v>
      </c>
      <c r="I42" s="6">
        <f>G42*H42</f>
        <v/>
      </c>
      <c r="J42" s="6">
        <f>I42*0.1</f>
        <v/>
      </c>
      <c r="K42" s="6">
        <f>I42+J42</f>
        <v/>
      </c>
      <c r="L42" s="4" t="inlineStr">
        <is>
          <t>박팀장</t>
        </is>
      </c>
    </row>
    <row r="43" ht="20" customHeight="1">
      <c r="A43" s="7" t="n">
        <v>46169</v>
      </c>
      <c r="B43" s="8" t="inlineStr">
        <is>
          <t>ORD-2026-0040</t>
        </is>
      </c>
      <c r="C43" s="8" t="inlineStr">
        <is>
          <t>조시우</t>
        </is>
      </c>
      <c r="D43" s="8" t="inlineStr">
        <is>
          <t>광주</t>
        </is>
      </c>
      <c r="E43" s="8" t="inlineStr">
        <is>
          <t>식품</t>
        </is>
      </c>
      <c r="F43" s="8" t="inlineStr">
        <is>
          <t>건강식품</t>
        </is>
      </c>
      <c r="G43" s="9" t="n">
        <v>6</v>
      </c>
      <c r="H43" s="10" t="n">
        <v>132000</v>
      </c>
      <c r="I43" s="10">
        <f>G43*H43</f>
        <v/>
      </c>
      <c r="J43" s="10">
        <f>I43*0.1</f>
        <v/>
      </c>
      <c r="K43" s="10">
        <f>I43+J43</f>
        <v/>
      </c>
      <c r="L43" s="8" t="inlineStr">
        <is>
          <t>최주임</t>
        </is>
      </c>
    </row>
    <row r="44" ht="20" customHeight="1">
      <c r="A44" s="3" t="n">
        <v>46169</v>
      </c>
      <c r="B44" s="4" t="inlineStr">
        <is>
          <t>ORD-2026-0041</t>
        </is>
      </c>
      <c r="C44" s="4" t="inlineStr">
        <is>
          <t>윤지유</t>
        </is>
      </c>
      <c r="D44" s="4" t="inlineStr">
        <is>
          <t>대구</t>
        </is>
      </c>
      <c r="E44" s="4" t="inlineStr">
        <is>
          <t>가구</t>
        </is>
      </c>
      <c r="F44" s="4" t="inlineStr">
        <is>
          <t>소파</t>
        </is>
      </c>
      <c r="G44" s="5" t="n">
        <v>9</v>
      </c>
      <c r="H44" s="6" t="n">
        <v>134000</v>
      </c>
      <c r="I44" s="6">
        <f>G44*H44</f>
        <v/>
      </c>
      <c r="J44" s="6">
        <f>I44*0.1</f>
        <v/>
      </c>
      <c r="K44" s="6">
        <f>I44+J44</f>
        <v/>
      </c>
      <c r="L44" s="4" t="inlineStr">
        <is>
          <t>김대리</t>
        </is>
      </c>
    </row>
    <row r="45" ht="20" customHeight="1">
      <c r="A45" s="7" t="n">
        <v>46171</v>
      </c>
      <c r="B45" s="8" t="inlineStr">
        <is>
          <t>ORD-2026-0042</t>
        </is>
      </c>
      <c r="C45" s="8" t="inlineStr">
        <is>
          <t>박지호</t>
        </is>
      </c>
      <c r="D45" s="8" t="inlineStr">
        <is>
          <t>부산</t>
        </is>
      </c>
      <c r="E45" s="8" t="inlineStr">
        <is>
          <t>전자제품</t>
        </is>
      </c>
      <c r="F45" s="8" t="inlineStr">
        <is>
          <t>무선이어폰</t>
        </is>
      </c>
      <c r="G45" s="9" t="n">
        <v>5</v>
      </c>
      <c r="H45" s="10" t="n">
        <v>2202000</v>
      </c>
      <c r="I45" s="10">
        <f>G45*H45</f>
        <v/>
      </c>
      <c r="J45" s="10">
        <f>I45*0.1</f>
        <v/>
      </c>
      <c r="K45" s="10">
        <f>I45+J45</f>
        <v/>
      </c>
      <c r="L45" s="8" t="inlineStr">
        <is>
          <t>강매니저</t>
        </is>
      </c>
    </row>
    <row r="46" ht="20" customHeight="1">
      <c r="A46" s="3" t="n">
        <v>46175</v>
      </c>
      <c r="B46" s="4" t="inlineStr">
        <is>
          <t>ORD-2026-0043</t>
        </is>
      </c>
      <c r="C46" s="4" t="inlineStr">
        <is>
          <t>오시현</t>
        </is>
      </c>
      <c r="D46" s="4" t="inlineStr">
        <is>
          <t>광주</t>
        </is>
      </c>
      <c r="E46" s="4" t="inlineStr">
        <is>
          <t>식품</t>
        </is>
      </c>
      <c r="F46" s="4" t="inlineStr">
        <is>
          <t>건강식품</t>
        </is>
      </c>
      <c r="G46" s="5" t="n">
        <v>10</v>
      </c>
      <c r="H46" s="6" t="n">
        <v>68000</v>
      </c>
      <c r="I46" s="6">
        <f>G46*H46</f>
        <v/>
      </c>
      <c r="J46" s="6">
        <f>I46*0.1</f>
        <v/>
      </c>
      <c r="K46" s="6">
        <f>I46+J46</f>
        <v/>
      </c>
      <c r="L46" s="4" t="inlineStr">
        <is>
          <t>최주임</t>
        </is>
      </c>
    </row>
    <row r="47" ht="20" customHeight="1">
      <c r="A47" s="7" t="n">
        <v>46182</v>
      </c>
      <c r="B47" s="8" t="inlineStr">
        <is>
          <t>ORD-2026-0044</t>
        </is>
      </c>
      <c r="C47" s="8" t="inlineStr">
        <is>
          <t>유하준</t>
        </is>
      </c>
      <c r="D47" s="8" t="inlineStr">
        <is>
          <t>광주</t>
        </is>
      </c>
      <c r="E47" s="8" t="inlineStr">
        <is>
          <t>패션</t>
        </is>
      </c>
      <c r="F47" s="8" t="inlineStr">
        <is>
          <t>운동화</t>
        </is>
      </c>
      <c r="G47" s="9" t="n">
        <v>2</v>
      </c>
      <c r="H47" s="10" t="n">
        <v>340000</v>
      </c>
      <c r="I47" s="10">
        <f>G47*H47</f>
        <v/>
      </c>
      <c r="J47" s="10">
        <f>I47*0.1</f>
        <v/>
      </c>
      <c r="K47" s="10">
        <f>I47+J47</f>
        <v/>
      </c>
      <c r="L47" s="8" t="inlineStr">
        <is>
          <t>강매니저</t>
        </is>
      </c>
    </row>
    <row r="48" ht="20" customHeight="1">
      <c r="A48" s="3" t="n">
        <v>46183</v>
      </c>
      <c r="B48" s="4" t="inlineStr">
        <is>
          <t>ORD-2026-0045</t>
        </is>
      </c>
      <c r="C48" s="4" t="inlineStr">
        <is>
          <t>윤지유</t>
        </is>
      </c>
      <c r="D48" s="4" t="inlineStr">
        <is>
          <t>대구</t>
        </is>
      </c>
      <c r="E48" s="4" t="inlineStr">
        <is>
          <t>패션</t>
        </is>
      </c>
      <c r="F48" s="4" t="inlineStr">
        <is>
          <t>운동화</t>
        </is>
      </c>
      <c r="G48" s="5" t="n">
        <v>5</v>
      </c>
      <c r="H48" s="6" t="n">
        <v>270000</v>
      </c>
      <c r="I48" s="6">
        <f>G48*H48</f>
        <v/>
      </c>
      <c r="J48" s="6">
        <f>I48*0.1</f>
        <v/>
      </c>
      <c r="K48" s="6">
        <f>I48+J48</f>
        <v/>
      </c>
      <c r="L48" s="4" t="inlineStr">
        <is>
          <t>이과장</t>
        </is>
      </c>
    </row>
    <row r="49" ht="20" customHeight="1">
      <c r="A49" s="7" t="n">
        <v>46184</v>
      </c>
      <c r="B49" s="8" t="inlineStr">
        <is>
          <t>ORD-2026-0046</t>
        </is>
      </c>
      <c r="C49" s="8" t="inlineStr">
        <is>
          <t>조시우</t>
        </is>
      </c>
      <c r="D49" s="8" t="inlineStr">
        <is>
          <t>울산</t>
        </is>
      </c>
      <c r="E49" s="8" t="inlineStr">
        <is>
          <t>패션</t>
        </is>
      </c>
      <c r="F49" s="8" t="inlineStr">
        <is>
          <t>니트</t>
        </is>
      </c>
      <c r="G49" s="9" t="n">
        <v>3</v>
      </c>
      <c r="H49" s="10" t="n">
        <v>169000</v>
      </c>
      <c r="I49" s="10">
        <f>G49*H49</f>
        <v/>
      </c>
      <c r="J49" s="10">
        <f>I49*0.1</f>
        <v/>
      </c>
      <c r="K49" s="10">
        <f>I49+J49</f>
        <v/>
      </c>
      <c r="L49" s="8" t="inlineStr">
        <is>
          <t>김대리</t>
        </is>
      </c>
    </row>
    <row r="50" ht="20" customHeight="1">
      <c r="A50" s="3" t="n">
        <v>46188</v>
      </c>
      <c r="B50" s="4" t="inlineStr">
        <is>
          <t>ORD-2026-0047</t>
        </is>
      </c>
      <c r="C50" s="4" t="inlineStr">
        <is>
          <t>황유나</t>
        </is>
      </c>
      <c r="D50" s="4" t="inlineStr">
        <is>
          <t>서울</t>
        </is>
      </c>
      <c r="E50" s="4" t="inlineStr">
        <is>
          <t>전자제품</t>
        </is>
      </c>
      <c r="F50" s="4" t="inlineStr">
        <is>
          <t>태블릿</t>
        </is>
      </c>
      <c r="G50" s="5" t="n">
        <v>5</v>
      </c>
      <c r="H50" s="6" t="n">
        <v>1304000</v>
      </c>
      <c r="I50" s="6">
        <f>G50*H50</f>
        <v/>
      </c>
      <c r="J50" s="6">
        <f>I50*0.1</f>
        <v/>
      </c>
      <c r="K50" s="6">
        <f>I50+J50</f>
        <v/>
      </c>
      <c r="L50" s="4" t="inlineStr">
        <is>
          <t>박팀장</t>
        </is>
      </c>
    </row>
    <row r="51" ht="20" customHeight="1">
      <c r="A51" s="7" t="n">
        <v>46190</v>
      </c>
      <c r="B51" s="8" t="inlineStr">
        <is>
          <t>ORD-2026-0048</t>
        </is>
      </c>
      <c r="C51" s="8" t="inlineStr">
        <is>
          <t>한도현</t>
        </is>
      </c>
      <c r="D51" s="8" t="inlineStr">
        <is>
          <t>광주</t>
        </is>
      </c>
      <c r="E51" s="8" t="inlineStr">
        <is>
          <t>가구</t>
        </is>
      </c>
      <c r="F51" s="8" t="inlineStr">
        <is>
          <t>침대</t>
        </is>
      </c>
      <c r="G51" s="9" t="n">
        <v>5</v>
      </c>
      <c r="H51" s="10" t="n">
        <v>136000</v>
      </c>
      <c r="I51" s="10">
        <f>G51*H51</f>
        <v/>
      </c>
      <c r="J51" s="10">
        <f>I51*0.1</f>
        <v/>
      </c>
      <c r="K51" s="10">
        <f>I51+J51</f>
        <v/>
      </c>
      <c r="L51" s="8" t="inlineStr">
        <is>
          <t>최주임</t>
        </is>
      </c>
    </row>
    <row r="52" ht="20" customHeight="1">
      <c r="A52" s="3" t="n">
        <v>46197</v>
      </c>
      <c r="B52" s="4" t="inlineStr">
        <is>
          <t>ORD-2026-0049</t>
        </is>
      </c>
      <c r="C52" s="4" t="inlineStr">
        <is>
          <t>최수아</t>
        </is>
      </c>
      <c r="D52" s="4" t="inlineStr">
        <is>
          <t>대구</t>
        </is>
      </c>
      <c r="E52" s="4" t="inlineStr">
        <is>
          <t>패션</t>
        </is>
      </c>
      <c r="F52" s="4" t="inlineStr">
        <is>
          <t>운동화</t>
        </is>
      </c>
      <c r="G52" s="5" t="n">
        <v>8</v>
      </c>
      <c r="H52" s="6" t="n">
        <v>32000</v>
      </c>
      <c r="I52" s="6">
        <f>G52*H52</f>
        <v/>
      </c>
      <c r="J52" s="6">
        <f>I52*0.1</f>
        <v/>
      </c>
      <c r="K52" s="6">
        <f>I52+J52</f>
        <v/>
      </c>
      <c r="L52" s="4" t="inlineStr">
        <is>
          <t>강매니저</t>
        </is>
      </c>
    </row>
    <row r="53" ht="20" customHeight="1">
      <c r="A53" s="7" t="n">
        <v>46197</v>
      </c>
      <c r="B53" s="8" t="inlineStr">
        <is>
          <t>ORD-2026-0050</t>
        </is>
      </c>
      <c r="C53" s="8" t="inlineStr">
        <is>
          <t>김민준</t>
        </is>
      </c>
      <c r="D53" s="8" t="inlineStr">
        <is>
          <t>광주</t>
        </is>
      </c>
      <c r="E53" s="8" t="inlineStr">
        <is>
          <t>패션</t>
        </is>
      </c>
      <c r="F53" s="8" t="inlineStr">
        <is>
          <t>코트</t>
        </is>
      </c>
      <c r="G53" s="9" t="n">
        <v>7</v>
      </c>
      <c r="H53" s="10" t="n">
        <v>220000</v>
      </c>
      <c r="I53" s="10">
        <f>G53*H53</f>
        <v/>
      </c>
      <c r="J53" s="10">
        <f>I53*0.1</f>
        <v/>
      </c>
      <c r="K53" s="10">
        <f>I53+J53</f>
        <v/>
      </c>
      <c r="L53" s="8" t="inlineStr">
        <is>
          <t>강매니저</t>
        </is>
      </c>
    </row>
    <row r="54" ht="20" customHeight="1">
      <c r="A54" s="3" t="n">
        <v>46198</v>
      </c>
      <c r="B54" s="4" t="inlineStr">
        <is>
          <t>ORD-2026-0051</t>
        </is>
      </c>
      <c r="C54" s="4" t="inlineStr">
        <is>
          <t>조시우</t>
        </is>
      </c>
      <c r="D54" s="4" t="inlineStr">
        <is>
          <t>대구</t>
        </is>
      </c>
      <c r="E54" s="4" t="inlineStr">
        <is>
          <t>식품</t>
        </is>
      </c>
      <c r="F54" s="4" t="inlineStr">
        <is>
          <t>와인</t>
        </is>
      </c>
      <c r="G54" s="5" t="n">
        <v>5</v>
      </c>
      <c r="H54" s="6" t="n">
        <v>23000</v>
      </c>
      <c r="I54" s="6">
        <f>G54*H54</f>
        <v/>
      </c>
      <c r="J54" s="6">
        <f>I54*0.1</f>
        <v/>
      </c>
      <c r="K54" s="6">
        <f>I54+J54</f>
        <v/>
      </c>
      <c r="L54" s="4" t="inlineStr">
        <is>
          <t>박팀장</t>
        </is>
      </c>
    </row>
    <row r="55" ht="20" customHeight="1">
      <c r="A55" s="7" t="n">
        <v>46199</v>
      </c>
      <c r="B55" s="8" t="inlineStr">
        <is>
          <t>ORD-2026-0052</t>
        </is>
      </c>
      <c r="C55" s="8" t="inlineStr">
        <is>
          <t>한도현</t>
        </is>
      </c>
      <c r="D55" s="8" t="inlineStr">
        <is>
          <t>광주</t>
        </is>
      </c>
      <c r="E55" s="8" t="inlineStr">
        <is>
          <t>식품</t>
        </is>
      </c>
      <c r="F55" s="8" t="inlineStr">
        <is>
          <t>건강식품</t>
        </is>
      </c>
      <c r="G55" s="9" t="n">
        <v>2</v>
      </c>
      <c r="H55" s="10" t="n">
        <v>111000</v>
      </c>
      <c r="I55" s="10">
        <f>G55*H55</f>
        <v/>
      </c>
      <c r="J55" s="10">
        <f>I55*0.1</f>
        <v/>
      </c>
      <c r="K55" s="10">
        <f>I55+J55</f>
        <v/>
      </c>
      <c r="L55" s="8" t="inlineStr">
        <is>
          <t>정사원</t>
        </is>
      </c>
    </row>
    <row r="56" ht="20" customHeight="1">
      <c r="A56" s="3" t="n">
        <v>46204</v>
      </c>
      <c r="B56" s="4" t="inlineStr">
        <is>
          <t>ORD-2026-0053</t>
        </is>
      </c>
      <c r="C56" s="4" t="inlineStr">
        <is>
          <t>장은우</t>
        </is>
      </c>
      <c r="D56" s="4" t="inlineStr">
        <is>
          <t>대전</t>
        </is>
      </c>
      <c r="E56" s="4" t="inlineStr">
        <is>
          <t>가구</t>
        </is>
      </c>
      <c r="F56" s="4" t="inlineStr">
        <is>
          <t>책장</t>
        </is>
      </c>
      <c r="G56" s="5" t="n">
        <v>5</v>
      </c>
      <c r="H56" s="6" t="n">
        <v>633000</v>
      </c>
      <c r="I56" s="6">
        <f>G56*H56</f>
        <v/>
      </c>
      <c r="J56" s="6">
        <f>I56*0.1</f>
        <v/>
      </c>
      <c r="K56" s="6">
        <f>I56+J56</f>
        <v/>
      </c>
      <c r="L56" s="4" t="inlineStr">
        <is>
          <t>박팀장</t>
        </is>
      </c>
    </row>
    <row r="57" ht="20" customHeight="1">
      <c r="A57" s="7" t="n">
        <v>46208</v>
      </c>
      <c r="B57" s="8" t="inlineStr">
        <is>
          <t>ORD-2026-0054</t>
        </is>
      </c>
      <c r="C57" s="8" t="inlineStr">
        <is>
          <t>윤지유</t>
        </is>
      </c>
      <c r="D57" s="8" t="inlineStr">
        <is>
          <t>인천</t>
        </is>
      </c>
      <c r="E57" s="8" t="inlineStr">
        <is>
          <t>식품</t>
        </is>
      </c>
      <c r="F57" s="8" t="inlineStr">
        <is>
          <t>와인</t>
        </is>
      </c>
      <c r="G57" s="9" t="n">
        <v>2</v>
      </c>
      <c r="H57" s="10" t="n">
        <v>22000</v>
      </c>
      <c r="I57" s="10">
        <f>G57*H57</f>
        <v/>
      </c>
      <c r="J57" s="10">
        <f>I57*0.1</f>
        <v/>
      </c>
      <c r="K57" s="10">
        <f>I57+J57</f>
        <v/>
      </c>
      <c r="L57" s="8" t="inlineStr">
        <is>
          <t>박팀장</t>
        </is>
      </c>
    </row>
    <row r="58" ht="20" customHeight="1">
      <c r="A58" s="3" t="n">
        <v>46209</v>
      </c>
      <c r="B58" s="4" t="inlineStr">
        <is>
          <t>ORD-2026-0055</t>
        </is>
      </c>
      <c r="C58" s="4" t="inlineStr">
        <is>
          <t>강하은</t>
        </is>
      </c>
      <c r="D58" s="4" t="inlineStr">
        <is>
          <t>대전</t>
        </is>
      </c>
      <c r="E58" s="4" t="inlineStr">
        <is>
          <t>가구</t>
        </is>
      </c>
      <c r="F58" s="4" t="inlineStr">
        <is>
          <t>의자</t>
        </is>
      </c>
      <c r="G58" s="5" t="n">
        <v>5</v>
      </c>
      <c r="H58" s="6" t="n">
        <v>786000</v>
      </c>
      <c r="I58" s="6">
        <f>G58*H58</f>
        <v/>
      </c>
      <c r="J58" s="6">
        <f>I58*0.1</f>
        <v/>
      </c>
      <c r="K58" s="6">
        <f>I58+J58</f>
        <v/>
      </c>
      <c r="L58" s="4" t="inlineStr">
        <is>
          <t>강매니저</t>
        </is>
      </c>
    </row>
    <row r="59" ht="20" customHeight="1">
      <c r="A59" s="7" t="n">
        <v>46217</v>
      </c>
      <c r="B59" s="8" t="inlineStr">
        <is>
          <t>ORD-2026-0056</t>
        </is>
      </c>
      <c r="C59" s="8" t="inlineStr">
        <is>
          <t>한도현</t>
        </is>
      </c>
      <c r="D59" s="8" t="inlineStr">
        <is>
          <t>서울</t>
        </is>
      </c>
      <c r="E59" s="8" t="inlineStr">
        <is>
          <t>패션</t>
        </is>
      </c>
      <c r="F59" s="8" t="inlineStr">
        <is>
          <t>가방</t>
        </is>
      </c>
      <c r="G59" s="9" t="n">
        <v>3</v>
      </c>
      <c r="H59" s="10" t="n">
        <v>286000</v>
      </c>
      <c r="I59" s="10">
        <f>G59*H59</f>
        <v/>
      </c>
      <c r="J59" s="10">
        <f>I59*0.1</f>
        <v/>
      </c>
      <c r="K59" s="10">
        <f>I59+J59</f>
        <v/>
      </c>
      <c r="L59" s="8" t="inlineStr">
        <is>
          <t>김대리</t>
        </is>
      </c>
    </row>
    <row r="60" ht="20" customHeight="1">
      <c r="A60" s="3" t="n">
        <v>46222</v>
      </c>
      <c r="B60" s="4" t="inlineStr">
        <is>
          <t>ORD-2026-0057</t>
        </is>
      </c>
      <c r="C60" s="4" t="inlineStr">
        <is>
          <t>유하준</t>
        </is>
      </c>
      <c r="D60" s="4" t="inlineStr">
        <is>
          <t>서울</t>
        </is>
      </c>
      <c r="E60" s="4" t="inlineStr">
        <is>
          <t>식품</t>
        </is>
      </c>
      <c r="F60" s="4" t="inlineStr">
        <is>
          <t>와인</t>
        </is>
      </c>
      <c r="G60" s="5" t="n">
        <v>8</v>
      </c>
      <c r="H60" s="6" t="n">
        <v>12000</v>
      </c>
      <c r="I60" s="6">
        <f>G60*H60</f>
        <v/>
      </c>
      <c r="J60" s="6">
        <f>I60*0.1</f>
        <v/>
      </c>
      <c r="K60" s="6">
        <f>I60+J60</f>
        <v/>
      </c>
      <c r="L60" s="4" t="inlineStr">
        <is>
          <t>이과장</t>
        </is>
      </c>
    </row>
    <row r="61" ht="20" customHeight="1">
      <c r="A61" s="7" t="n">
        <v>46224</v>
      </c>
      <c r="B61" s="8" t="inlineStr">
        <is>
          <t>ORD-2026-0058</t>
        </is>
      </c>
      <c r="C61" s="8" t="inlineStr">
        <is>
          <t>유하준</t>
        </is>
      </c>
      <c r="D61" s="8" t="inlineStr">
        <is>
          <t>강원</t>
        </is>
      </c>
      <c r="E61" s="8" t="inlineStr">
        <is>
          <t>도서</t>
        </is>
      </c>
      <c r="F61" s="8" t="inlineStr">
        <is>
          <t>소설</t>
        </is>
      </c>
      <c r="G61" s="9" t="n">
        <v>2</v>
      </c>
      <c r="H61" s="10" t="n">
        <v>38000</v>
      </c>
      <c r="I61" s="10">
        <f>G61*H61</f>
        <v/>
      </c>
      <c r="J61" s="10">
        <f>I61*0.1</f>
        <v/>
      </c>
      <c r="K61" s="10">
        <f>I61+J61</f>
        <v/>
      </c>
      <c r="L61" s="8" t="inlineStr">
        <is>
          <t>김대리</t>
        </is>
      </c>
    </row>
    <row r="62" ht="20" customHeight="1">
      <c r="A62" s="3" t="n">
        <v>46231</v>
      </c>
      <c r="B62" s="4" t="inlineStr">
        <is>
          <t>ORD-2026-0059</t>
        </is>
      </c>
      <c r="C62" s="4" t="inlineStr">
        <is>
          <t>한도현</t>
        </is>
      </c>
      <c r="D62" s="4" t="inlineStr">
        <is>
          <t>세종</t>
        </is>
      </c>
      <c r="E62" s="4" t="inlineStr">
        <is>
          <t>패션</t>
        </is>
      </c>
      <c r="F62" s="4" t="inlineStr">
        <is>
          <t>니트</t>
        </is>
      </c>
      <c r="G62" s="5" t="n">
        <v>1</v>
      </c>
      <c r="H62" s="6" t="n">
        <v>138000</v>
      </c>
      <c r="I62" s="6">
        <f>G62*H62</f>
        <v/>
      </c>
      <c r="J62" s="6">
        <f>I62*0.1</f>
        <v/>
      </c>
      <c r="K62" s="6">
        <f>I62+J62</f>
        <v/>
      </c>
      <c r="L62" s="4" t="inlineStr">
        <is>
          <t>최주임</t>
        </is>
      </c>
    </row>
    <row r="63" ht="20" customHeight="1">
      <c r="A63" s="7" t="n">
        <v>46235</v>
      </c>
      <c r="B63" s="8" t="inlineStr">
        <is>
          <t>ORD-2026-0060</t>
        </is>
      </c>
      <c r="C63" s="8" t="inlineStr">
        <is>
          <t>유하준</t>
        </is>
      </c>
      <c r="D63" s="8" t="inlineStr">
        <is>
          <t>부산</t>
        </is>
      </c>
      <c r="E63" s="8" t="inlineStr">
        <is>
          <t>도서</t>
        </is>
      </c>
      <c r="F63" s="8" t="inlineStr">
        <is>
          <t>아동도서</t>
        </is>
      </c>
      <c r="G63" s="9" t="n">
        <v>8</v>
      </c>
      <c r="H63" s="10" t="n">
        <v>36000</v>
      </c>
      <c r="I63" s="10">
        <f>G63*H63</f>
        <v/>
      </c>
      <c r="J63" s="10">
        <f>I63*0.1</f>
        <v/>
      </c>
      <c r="K63" s="10">
        <f>I63+J63</f>
        <v/>
      </c>
      <c r="L63" s="8" t="inlineStr">
        <is>
          <t>김대리</t>
        </is>
      </c>
    </row>
    <row r="64" ht="20" customHeight="1">
      <c r="A64" s="3" t="n">
        <v>46243</v>
      </c>
      <c r="B64" s="4" t="inlineStr">
        <is>
          <t>ORD-2026-0061</t>
        </is>
      </c>
      <c r="C64" s="4" t="inlineStr">
        <is>
          <t>서예준</t>
        </is>
      </c>
      <c r="D64" s="4" t="inlineStr">
        <is>
          <t>광주</t>
        </is>
      </c>
      <c r="E64" s="4" t="inlineStr">
        <is>
          <t>패션</t>
        </is>
      </c>
      <c r="F64" s="4" t="inlineStr">
        <is>
          <t>니트</t>
        </is>
      </c>
      <c r="G64" s="5" t="n">
        <v>1</v>
      </c>
      <c r="H64" s="6" t="n">
        <v>383000</v>
      </c>
      <c r="I64" s="6">
        <f>G64*H64</f>
        <v/>
      </c>
      <c r="J64" s="6">
        <f>I64*0.1</f>
        <v/>
      </c>
      <c r="K64" s="6">
        <f>I64+J64</f>
        <v/>
      </c>
      <c r="L64" s="4" t="inlineStr">
        <is>
          <t>강매니저</t>
        </is>
      </c>
    </row>
    <row r="65" ht="20" customHeight="1">
      <c r="A65" s="7" t="n">
        <v>46249</v>
      </c>
      <c r="B65" s="8" t="inlineStr">
        <is>
          <t>ORD-2026-0062</t>
        </is>
      </c>
      <c r="C65" s="8" t="inlineStr">
        <is>
          <t>조시우</t>
        </is>
      </c>
      <c r="D65" s="8" t="inlineStr">
        <is>
          <t>세종</t>
        </is>
      </c>
      <c r="E65" s="8" t="inlineStr">
        <is>
          <t>패션</t>
        </is>
      </c>
      <c r="F65" s="8" t="inlineStr">
        <is>
          <t>운동화</t>
        </is>
      </c>
      <c r="G65" s="9" t="n">
        <v>2</v>
      </c>
      <c r="H65" s="10" t="n">
        <v>179000</v>
      </c>
      <c r="I65" s="10">
        <f>G65*H65</f>
        <v/>
      </c>
      <c r="J65" s="10">
        <f>I65*0.1</f>
        <v/>
      </c>
      <c r="K65" s="10">
        <f>I65+J65</f>
        <v/>
      </c>
      <c r="L65" s="8" t="inlineStr">
        <is>
          <t>정사원</t>
        </is>
      </c>
    </row>
    <row r="66" ht="20" customHeight="1">
      <c r="A66" s="3" t="n">
        <v>46258</v>
      </c>
      <c r="B66" s="4" t="inlineStr">
        <is>
          <t>ORD-2026-0063</t>
        </is>
      </c>
      <c r="C66" s="4" t="inlineStr">
        <is>
          <t>안서윤</t>
        </is>
      </c>
      <c r="D66" s="4" t="inlineStr">
        <is>
          <t>경기</t>
        </is>
      </c>
      <c r="E66" s="4" t="inlineStr">
        <is>
          <t>패션</t>
        </is>
      </c>
      <c r="F66" s="4" t="inlineStr">
        <is>
          <t>코트</t>
        </is>
      </c>
      <c r="G66" s="5" t="n">
        <v>9</v>
      </c>
      <c r="H66" s="6" t="n">
        <v>184000</v>
      </c>
      <c r="I66" s="6">
        <f>G66*H66</f>
        <v/>
      </c>
      <c r="J66" s="6">
        <f>I66*0.1</f>
        <v/>
      </c>
      <c r="K66" s="6">
        <f>I66+J66</f>
        <v/>
      </c>
      <c r="L66" s="4" t="inlineStr">
        <is>
          <t>강매니저</t>
        </is>
      </c>
    </row>
    <row r="67" ht="20" customHeight="1">
      <c r="A67" s="7" t="n">
        <v>46258</v>
      </c>
      <c r="B67" s="8" t="inlineStr">
        <is>
          <t>ORD-2026-0064</t>
        </is>
      </c>
      <c r="C67" s="8" t="inlineStr">
        <is>
          <t>정도윤</t>
        </is>
      </c>
      <c r="D67" s="8" t="inlineStr">
        <is>
          <t>광주</t>
        </is>
      </c>
      <c r="E67" s="8" t="inlineStr">
        <is>
          <t>가전</t>
        </is>
      </c>
      <c r="F67" s="8" t="inlineStr">
        <is>
          <t>청소기</t>
        </is>
      </c>
      <c r="G67" s="9" t="n">
        <v>5</v>
      </c>
      <c r="H67" s="10" t="n">
        <v>2783000</v>
      </c>
      <c r="I67" s="10">
        <f>G67*H67</f>
        <v/>
      </c>
      <c r="J67" s="10">
        <f>I67*0.1</f>
        <v/>
      </c>
      <c r="K67" s="10">
        <f>I67+J67</f>
        <v/>
      </c>
      <c r="L67" s="8" t="inlineStr">
        <is>
          <t>정사원</t>
        </is>
      </c>
    </row>
    <row r="68" ht="20" customHeight="1">
      <c r="A68" s="3" t="n">
        <v>46259</v>
      </c>
      <c r="B68" s="4" t="inlineStr">
        <is>
          <t>ORD-2026-0065</t>
        </is>
      </c>
      <c r="C68" s="4" t="inlineStr">
        <is>
          <t>오시현</t>
        </is>
      </c>
      <c r="D68" s="4" t="inlineStr">
        <is>
          <t>대구</t>
        </is>
      </c>
      <c r="E68" s="4" t="inlineStr">
        <is>
          <t>도서</t>
        </is>
      </c>
      <c r="F68" s="4" t="inlineStr">
        <is>
          <t>에세이</t>
        </is>
      </c>
      <c r="G68" s="5" t="n">
        <v>4</v>
      </c>
      <c r="H68" s="6" t="n">
        <v>31000</v>
      </c>
      <c r="I68" s="6">
        <f>G68*H68</f>
        <v/>
      </c>
      <c r="J68" s="6">
        <f>I68*0.1</f>
        <v/>
      </c>
      <c r="K68" s="6">
        <f>I68+J68</f>
        <v/>
      </c>
      <c r="L68" s="4" t="inlineStr">
        <is>
          <t>박팀장</t>
        </is>
      </c>
    </row>
    <row r="69" ht="20" customHeight="1">
      <c r="A69" s="7" t="n">
        <v>46259</v>
      </c>
      <c r="B69" s="8" t="inlineStr">
        <is>
          <t>ORD-2026-0066</t>
        </is>
      </c>
      <c r="C69" s="8" t="inlineStr">
        <is>
          <t>강하은</t>
        </is>
      </c>
      <c r="D69" s="8" t="inlineStr">
        <is>
          <t>서울</t>
        </is>
      </c>
      <c r="E69" s="8" t="inlineStr">
        <is>
          <t>가구</t>
        </is>
      </c>
      <c r="F69" s="8" t="inlineStr">
        <is>
          <t>침대</t>
        </is>
      </c>
      <c r="G69" s="9" t="n">
        <v>6</v>
      </c>
      <c r="H69" s="10" t="n">
        <v>272000</v>
      </c>
      <c r="I69" s="10">
        <f>G69*H69</f>
        <v/>
      </c>
      <c r="J69" s="10">
        <f>I69*0.1</f>
        <v/>
      </c>
      <c r="K69" s="10">
        <f>I69+J69</f>
        <v/>
      </c>
      <c r="L69" s="8" t="inlineStr">
        <is>
          <t>최주임</t>
        </is>
      </c>
    </row>
    <row r="70" ht="20" customHeight="1">
      <c r="A70" s="3" t="n">
        <v>46260</v>
      </c>
      <c r="B70" s="4" t="inlineStr">
        <is>
          <t>ORD-2026-0067</t>
        </is>
      </c>
      <c r="C70" s="4" t="inlineStr">
        <is>
          <t>이서연</t>
        </is>
      </c>
      <c r="D70" s="4" t="inlineStr">
        <is>
          <t>세종</t>
        </is>
      </c>
      <c r="E70" s="4" t="inlineStr">
        <is>
          <t>가전</t>
        </is>
      </c>
      <c r="F70" s="4" t="inlineStr">
        <is>
          <t>냉장고</t>
        </is>
      </c>
      <c r="G70" s="5" t="n">
        <v>8</v>
      </c>
      <c r="H70" s="6" t="n">
        <v>759000</v>
      </c>
      <c r="I70" s="6">
        <f>G70*H70</f>
        <v/>
      </c>
      <c r="J70" s="6">
        <f>I70*0.1</f>
        <v/>
      </c>
      <c r="K70" s="6">
        <f>I70+J70</f>
        <v/>
      </c>
      <c r="L70" s="4" t="inlineStr">
        <is>
          <t>최주임</t>
        </is>
      </c>
    </row>
    <row r="71" ht="20" customHeight="1">
      <c r="A71" s="7" t="n">
        <v>46262</v>
      </c>
      <c r="B71" s="8" t="inlineStr">
        <is>
          <t>ORD-2026-0068</t>
        </is>
      </c>
      <c r="C71" s="8" t="inlineStr">
        <is>
          <t>송준영</t>
        </is>
      </c>
      <c r="D71" s="8" t="inlineStr">
        <is>
          <t>대구</t>
        </is>
      </c>
      <c r="E71" s="8" t="inlineStr">
        <is>
          <t>식품</t>
        </is>
      </c>
      <c r="F71" s="8" t="inlineStr">
        <is>
          <t>원두커피</t>
        </is>
      </c>
      <c r="G71" s="9" t="n">
        <v>2</v>
      </c>
      <c r="H71" s="10" t="n">
        <v>80000</v>
      </c>
      <c r="I71" s="10">
        <f>G71*H71</f>
        <v/>
      </c>
      <c r="J71" s="10">
        <f>I71*0.1</f>
        <v/>
      </c>
      <c r="K71" s="10">
        <f>I71+J71</f>
        <v/>
      </c>
      <c r="L71" s="8" t="inlineStr">
        <is>
          <t>강매니저</t>
        </is>
      </c>
    </row>
    <row r="72" ht="20" customHeight="1">
      <c r="A72" s="3" t="n">
        <v>46265</v>
      </c>
      <c r="B72" s="4" t="inlineStr">
        <is>
          <t>ORD-2026-0069</t>
        </is>
      </c>
      <c r="C72" s="4" t="inlineStr">
        <is>
          <t>윤지유</t>
        </is>
      </c>
      <c r="D72" s="4" t="inlineStr">
        <is>
          <t>울산</t>
        </is>
      </c>
      <c r="E72" s="4" t="inlineStr">
        <is>
          <t>패션</t>
        </is>
      </c>
      <c r="F72" s="4" t="inlineStr">
        <is>
          <t>운동화</t>
        </is>
      </c>
      <c r="G72" s="5" t="n">
        <v>2</v>
      </c>
      <c r="H72" s="6" t="n">
        <v>81000</v>
      </c>
      <c r="I72" s="6">
        <f>G72*H72</f>
        <v/>
      </c>
      <c r="J72" s="6">
        <f>I72*0.1</f>
        <v/>
      </c>
      <c r="K72" s="6">
        <f>I72+J72</f>
        <v/>
      </c>
      <c r="L72" s="4" t="inlineStr">
        <is>
          <t>강매니저</t>
        </is>
      </c>
    </row>
    <row r="73" ht="20" customHeight="1">
      <c r="A73" s="7" t="n">
        <v>46265</v>
      </c>
      <c r="B73" s="8" t="inlineStr">
        <is>
          <t>ORD-2026-0070</t>
        </is>
      </c>
      <c r="C73" s="8" t="inlineStr">
        <is>
          <t>최수아</t>
        </is>
      </c>
      <c r="D73" s="8" t="inlineStr">
        <is>
          <t>강원</t>
        </is>
      </c>
      <c r="E73" s="8" t="inlineStr">
        <is>
          <t>가전</t>
        </is>
      </c>
      <c r="F73" s="8" t="inlineStr">
        <is>
          <t>TV</t>
        </is>
      </c>
      <c r="G73" s="9" t="n">
        <v>5</v>
      </c>
      <c r="H73" s="10" t="n">
        <v>1747000</v>
      </c>
      <c r="I73" s="10">
        <f>G73*H73</f>
        <v/>
      </c>
      <c r="J73" s="10">
        <f>I73*0.1</f>
        <v/>
      </c>
      <c r="K73" s="10">
        <f>I73+J73</f>
        <v/>
      </c>
      <c r="L73" s="8" t="inlineStr">
        <is>
          <t>김대리</t>
        </is>
      </c>
    </row>
    <row r="74" ht="20" customHeight="1">
      <c r="A74" s="3" t="n">
        <v>46267</v>
      </c>
      <c r="B74" s="4" t="inlineStr">
        <is>
          <t>ORD-2026-0071</t>
        </is>
      </c>
      <c r="C74" s="4" t="inlineStr">
        <is>
          <t>송준영</t>
        </is>
      </c>
      <c r="D74" s="4" t="inlineStr">
        <is>
          <t>세종</t>
        </is>
      </c>
      <c r="E74" s="4" t="inlineStr">
        <is>
          <t>가전</t>
        </is>
      </c>
      <c r="F74" s="4" t="inlineStr">
        <is>
          <t>냉장고</t>
        </is>
      </c>
      <c r="G74" s="5" t="n">
        <v>9</v>
      </c>
      <c r="H74" s="6" t="n">
        <v>536000</v>
      </c>
      <c r="I74" s="6">
        <f>G74*H74</f>
        <v/>
      </c>
      <c r="J74" s="6">
        <f>I74*0.1</f>
        <v/>
      </c>
      <c r="K74" s="6">
        <f>I74+J74</f>
        <v/>
      </c>
      <c r="L74" s="4" t="inlineStr">
        <is>
          <t>김대리</t>
        </is>
      </c>
    </row>
    <row r="75" ht="20" customHeight="1">
      <c r="A75" s="7" t="n">
        <v>46270</v>
      </c>
      <c r="B75" s="8" t="inlineStr">
        <is>
          <t>ORD-2026-0072</t>
        </is>
      </c>
      <c r="C75" s="8" t="inlineStr">
        <is>
          <t>권현우</t>
        </is>
      </c>
      <c r="D75" s="8" t="inlineStr">
        <is>
          <t>광주</t>
        </is>
      </c>
      <c r="E75" s="8" t="inlineStr">
        <is>
          <t>도서</t>
        </is>
      </c>
      <c r="F75" s="8" t="inlineStr">
        <is>
          <t>에세이</t>
        </is>
      </c>
      <c r="G75" s="9" t="n">
        <v>5</v>
      </c>
      <c r="H75" s="10" t="n">
        <v>31000</v>
      </c>
      <c r="I75" s="10">
        <f>G75*H75</f>
        <v/>
      </c>
      <c r="J75" s="10">
        <f>I75*0.1</f>
        <v/>
      </c>
      <c r="K75" s="10">
        <f>I75+J75</f>
        <v/>
      </c>
      <c r="L75" s="8" t="inlineStr">
        <is>
          <t>김대리</t>
        </is>
      </c>
    </row>
    <row r="76" ht="20" customHeight="1">
      <c r="A76" s="3" t="n">
        <v>46287</v>
      </c>
      <c r="B76" s="4" t="inlineStr">
        <is>
          <t>ORD-2026-0073</t>
        </is>
      </c>
      <c r="C76" s="4" t="inlineStr">
        <is>
          <t>권현우</t>
        </is>
      </c>
      <c r="D76" s="4" t="inlineStr">
        <is>
          <t>경기</t>
        </is>
      </c>
      <c r="E76" s="4" t="inlineStr">
        <is>
          <t>가전</t>
        </is>
      </c>
      <c r="F76" s="4" t="inlineStr">
        <is>
          <t>세탁기</t>
        </is>
      </c>
      <c r="G76" s="5" t="n">
        <v>2</v>
      </c>
      <c r="H76" s="6" t="n">
        <v>1618000</v>
      </c>
      <c r="I76" s="6">
        <f>G76*H76</f>
        <v/>
      </c>
      <c r="J76" s="6">
        <f>I76*0.1</f>
        <v/>
      </c>
      <c r="K76" s="6">
        <f>I76+J76</f>
        <v/>
      </c>
      <c r="L76" s="4" t="inlineStr">
        <is>
          <t>박팀장</t>
        </is>
      </c>
    </row>
    <row r="77" ht="20" customHeight="1">
      <c r="A77" s="7" t="n">
        <v>46287</v>
      </c>
      <c r="B77" s="8" t="inlineStr">
        <is>
          <t>ORD-2026-0074</t>
        </is>
      </c>
      <c r="C77" s="8" t="inlineStr">
        <is>
          <t>조시우</t>
        </is>
      </c>
      <c r="D77" s="8" t="inlineStr">
        <is>
          <t>경기</t>
        </is>
      </c>
      <c r="E77" s="8" t="inlineStr">
        <is>
          <t>가전</t>
        </is>
      </c>
      <c r="F77" s="8" t="inlineStr">
        <is>
          <t>TV</t>
        </is>
      </c>
      <c r="G77" s="9" t="n">
        <v>8</v>
      </c>
      <c r="H77" s="10" t="n">
        <v>2529000</v>
      </c>
      <c r="I77" s="10">
        <f>G77*H77</f>
        <v/>
      </c>
      <c r="J77" s="10">
        <f>I77*0.1</f>
        <v/>
      </c>
      <c r="K77" s="10">
        <f>I77+J77</f>
        <v/>
      </c>
      <c r="L77" s="8" t="inlineStr">
        <is>
          <t>김대리</t>
        </is>
      </c>
    </row>
    <row r="78" ht="20" customHeight="1">
      <c r="A78" s="3" t="n">
        <v>46303</v>
      </c>
      <c r="B78" s="4" t="inlineStr">
        <is>
          <t>ORD-2026-0075</t>
        </is>
      </c>
      <c r="C78" s="4" t="inlineStr">
        <is>
          <t>권현우</t>
        </is>
      </c>
      <c r="D78" s="4" t="inlineStr">
        <is>
          <t>인천</t>
        </is>
      </c>
      <c r="E78" s="4" t="inlineStr">
        <is>
          <t>도서</t>
        </is>
      </c>
      <c r="F78" s="4" t="inlineStr">
        <is>
          <t>아동도서</t>
        </is>
      </c>
      <c r="G78" s="5" t="n">
        <v>8</v>
      </c>
      <c r="H78" s="6" t="n">
        <v>27000</v>
      </c>
      <c r="I78" s="6">
        <f>G78*H78</f>
        <v/>
      </c>
      <c r="J78" s="6">
        <f>I78*0.1</f>
        <v/>
      </c>
      <c r="K78" s="6">
        <f>I78+J78</f>
        <v/>
      </c>
      <c r="L78" s="4" t="inlineStr">
        <is>
          <t>김대리</t>
        </is>
      </c>
    </row>
    <row r="79" ht="20" customHeight="1">
      <c r="A79" s="7" t="n">
        <v>46319</v>
      </c>
      <c r="B79" s="8" t="inlineStr">
        <is>
          <t>ORD-2026-0076</t>
        </is>
      </c>
      <c r="C79" s="8" t="inlineStr">
        <is>
          <t>안서윤</t>
        </is>
      </c>
      <c r="D79" s="8" t="inlineStr">
        <is>
          <t>서울</t>
        </is>
      </c>
      <c r="E79" s="8" t="inlineStr">
        <is>
          <t>도서</t>
        </is>
      </c>
      <c r="F79" s="8" t="inlineStr">
        <is>
          <t>경제</t>
        </is>
      </c>
      <c r="G79" s="9" t="n">
        <v>1</v>
      </c>
      <c r="H79" s="10" t="n">
        <v>13000</v>
      </c>
      <c r="I79" s="10">
        <f>G79*H79</f>
        <v/>
      </c>
      <c r="J79" s="10">
        <f>I79*0.1</f>
        <v/>
      </c>
      <c r="K79" s="10">
        <f>I79+J79</f>
        <v/>
      </c>
      <c r="L79" s="8" t="inlineStr">
        <is>
          <t>정사원</t>
        </is>
      </c>
    </row>
    <row r="80" ht="20" customHeight="1">
      <c r="A80" s="3" t="n">
        <v>46321</v>
      </c>
      <c r="B80" s="4" t="inlineStr">
        <is>
          <t>ORD-2026-0077</t>
        </is>
      </c>
      <c r="C80" s="4" t="inlineStr">
        <is>
          <t>유하준</t>
        </is>
      </c>
      <c r="D80" s="4" t="inlineStr">
        <is>
          <t>세종</t>
        </is>
      </c>
      <c r="E80" s="4" t="inlineStr">
        <is>
          <t>가구</t>
        </is>
      </c>
      <c r="F80" s="4" t="inlineStr">
        <is>
          <t>소파</t>
        </is>
      </c>
      <c r="G80" s="5" t="n">
        <v>4</v>
      </c>
      <c r="H80" s="6" t="n">
        <v>752000</v>
      </c>
      <c r="I80" s="6">
        <f>G80*H80</f>
        <v/>
      </c>
      <c r="J80" s="6">
        <f>I80*0.1</f>
        <v/>
      </c>
      <c r="K80" s="6">
        <f>I80+J80</f>
        <v/>
      </c>
      <c r="L80" s="4" t="inlineStr">
        <is>
          <t>강매니저</t>
        </is>
      </c>
    </row>
    <row r="81" ht="20" customHeight="1">
      <c r="A81" s="7" t="n">
        <v>46324</v>
      </c>
      <c r="B81" s="8" t="inlineStr">
        <is>
          <t>ORD-2026-0078</t>
        </is>
      </c>
      <c r="C81" s="8" t="inlineStr">
        <is>
          <t>안서윤</t>
        </is>
      </c>
      <c r="D81" s="8" t="inlineStr">
        <is>
          <t>부산</t>
        </is>
      </c>
      <c r="E81" s="8" t="inlineStr">
        <is>
          <t>식품</t>
        </is>
      </c>
      <c r="F81" s="8" t="inlineStr">
        <is>
          <t>올리브유</t>
        </is>
      </c>
      <c r="G81" s="9" t="n">
        <v>1</v>
      </c>
      <c r="H81" s="10" t="n">
        <v>29000</v>
      </c>
      <c r="I81" s="10">
        <f>G81*H81</f>
        <v/>
      </c>
      <c r="J81" s="10">
        <f>I81*0.1</f>
        <v/>
      </c>
      <c r="K81" s="10">
        <f>I81+J81</f>
        <v/>
      </c>
      <c r="L81" s="8" t="inlineStr">
        <is>
          <t>강매니저</t>
        </is>
      </c>
    </row>
    <row r="82" ht="20" customHeight="1">
      <c r="A82" s="3" t="n">
        <v>46333</v>
      </c>
      <c r="B82" s="4" t="inlineStr">
        <is>
          <t>ORD-2026-0079</t>
        </is>
      </c>
      <c r="C82" s="4" t="inlineStr">
        <is>
          <t>문가은</t>
        </is>
      </c>
      <c r="D82" s="4" t="inlineStr">
        <is>
          <t>경기</t>
        </is>
      </c>
      <c r="E82" s="4" t="inlineStr">
        <is>
          <t>가전</t>
        </is>
      </c>
      <c r="F82" s="4" t="inlineStr">
        <is>
          <t>에어컨</t>
        </is>
      </c>
      <c r="G82" s="5" t="n">
        <v>2</v>
      </c>
      <c r="H82" s="6" t="n">
        <v>2627000</v>
      </c>
      <c r="I82" s="6">
        <f>G82*H82</f>
        <v/>
      </c>
      <c r="J82" s="6">
        <f>I82*0.1</f>
        <v/>
      </c>
      <c r="K82" s="6">
        <f>I82+J82</f>
        <v/>
      </c>
      <c r="L82" s="4" t="inlineStr">
        <is>
          <t>박팀장</t>
        </is>
      </c>
    </row>
    <row r="83" ht="20" customHeight="1">
      <c r="A83" s="7" t="n">
        <v>46339</v>
      </c>
      <c r="B83" s="8" t="inlineStr">
        <is>
          <t>ORD-2026-0080</t>
        </is>
      </c>
      <c r="C83" s="8" t="inlineStr">
        <is>
          <t>서예준</t>
        </is>
      </c>
      <c r="D83" s="8" t="inlineStr">
        <is>
          <t>강원</t>
        </is>
      </c>
      <c r="E83" s="8" t="inlineStr">
        <is>
          <t>가전</t>
        </is>
      </c>
      <c r="F83" s="8" t="inlineStr">
        <is>
          <t>냉장고</t>
        </is>
      </c>
      <c r="G83" s="9" t="n">
        <v>1</v>
      </c>
      <c r="H83" s="10" t="n">
        <v>2974000</v>
      </c>
      <c r="I83" s="10">
        <f>G83*H83</f>
        <v/>
      </c>
      <c r="J83" s="10">
        <f>I83*0.1</f>
        <v/>
      </c>
      <c r="K83" s="10">
        <f>I83+J83</f>
        <v/>
      </c>
      <c r="L83" s="8" t="inlineStr">
        <is>
          <t>김대리</t>
        </is>
      </c>
    </row>
    <row r="84" ht="20" customHeight="1">
      <c r="A84" s="3" t="n">
        <v>46344</v>
      </c>
      <c r="B84" s="4" t="inlineStr">
        <is>
          <t>ORD-2026-0081</t>
        </is>
      </c>
      <c r="C84" s="4" t="inlineStr">
        <is>
          <t>윤지유</t>
        </is>
      </c>
      <c r="D84" s="4" t="inlineStr">
        <is>
          <t>경기</t>
        </is>
      </c>
      <c r="E84" s="4" t="inlineStr">
        <is>
          <t>도서</t>
        </is>
      </c>
      <c r="F84" s="4" t="inlineStr">
        <is>
          <t>경제</t>
        </is>
      </c>
      <c r="G84" s="5" t="n">
        <v>10</v>
      </c>
      <c r="H84" s="6" t="n">
        <v>18000</v>
      </c>
      <c r="I84" s="6">
        <f>G84*H84</f>
        <v/>
      </c>
      <c r="J84" s="6">
        <f>I84*0.1</f>
        <v/>
      </c>
      <c r="K84" s="6">
        <f>I84+J84</f>
        <v/>
      </c>
      <c r="L84" s="4" t="inlineStr">
        <is>
          <t>정사원</t>
        </is>
      </c>
    </row>
    <row r="85" ht="20" customHeight="1">
      <c r="A85" s="7" t="n">
        <v>46346</v>
      </c>
      <c r="B85" s="8" t="inlineStr">
        <is>
          <t>ORD-2026-0082</t>
        </is>
      </c>
      <c r="C85" s="8" t="inlineStr">
        <is>
          <t>이서연</t>
        </is>
      </c>
      <c r="D85" s="8" t="inlineStr">
        <is>
          <t>부산</t>
        </is>
      </c>
      <c r="E85" s="8" t="inlineStr">
        <is>
          <t>전자제품</t>
        </is>
      </c>
      <c r="F85" s="8" t="inlineStr">
        <is>
          <t>노트북</t>
        </is>
      </c>
      <c r="G85" s="9" t="n">
        <v>6</v>
      </c>
      <c r="H85" s="10" t="n">
        <v>597000</v>
      </c>
      <c r="I85" s="10">
        <f>G85*H85</f>
        <v/>
      </c>
      <c r="J85" s="10">
        <f>I85*0.1</f>
        <v/>
      </c>
      <c r="K85" s="10">
        <f>I85+J85</f>
        <v/>
      </c>
      <c r="L85" s="8" t="inlineStr">
        <is>
          <t>정사원</t>
        </is>
      </c>
    </row>
    <row r="86" ht="20" customHeight="1">
      <c r="A86" s="3" t="n">
        <v>46347</v>
      </c>
      <c r="B86" s="4" t="inlineStr">
        <is>
          <t>ORD-2026-0083</t>
        </is>
      </c>
      <c r="C86" s="4" t="inlineStr">
        <is>
          <t>신지안</t>
        </is>
      </c>
      <c r="D86" s="4" t="inlineStr">
        <is>
          <t>대구</t>
        </is>
      </c>
      <c r="E86" s="4" t="inlineStr">
        <is>
          <t>전자제품</t>
        </is>
      </c>
      <c r="F86" s="4" t="inlineStr">
        <is>
          <t>노트북</t>
        </is>
      </c>
      <c r="G86" s="5" t="n">
        <v>6</v>
      </c>
      <c r="H86" s="6" t="n">
        <v>849000</v>
      </c>
      <c r="I86" s="6">
        <f>G86*H86</f>
        <v/>
      </c>
      <c r="J86" s="6">
        <f>I86*0.1</f>
        <v/>
      </c>
      <c r="K86" s="6">
        <f>I86+J86</f>
        <v/>
      </c>
      <c r="L86" s="4" t="inlineStr">
        <is>
          <t>강매니저</t>
        </is>
      </c>
    </row>
    <row r="87" ht="20" customHeight="1">
      <c r="A87" s="7" t="n">
        <v>46349</v>
      </c>
      <c r="B87" s="8" t="inlineStr">
        <is>
          <t>ORD-2026-0084</t>
        </is>
      </c>
      <c r="C87" s="8" t="inlineStr">
        <is>
          <t>장은우</t>
        </is>
      </c>
      <c r="D87" s="8" t="inlineStr">
        <is>
          <t>세종</t>
        </is>
      </c>
      <c r="E87" s="8" t="inlineStr">
        <is>
          <t>패션</t>
        </is>
      </c>
      <c r="F87" s="8" t="inlineStr">
        <is>
          <t>운동화</t>
        </is>
      </c>
      <c r="G87" s="9" t="n">
        <v>5</v>
      </c>
      <c r="H87" s="10" t="n">
        <v>261000</v>
      </c>
      <c r="I87" s="10">
        <f>G87*H87</f>
        <v/>
      </c>
      <c r="J87" s="10">
        <f>I87*0.1</f>
        <v/>
      </c>
      <c r="K87" s="10">
        <f>I87+J87</f>
        <v/>
      </c>
      <c r="L87" s="8" t="inlineStr">
        <is>
          <t>박팀장</t>
        </is>
      </c>
    </row>
    <row r="88" ht="20" customHeight="1">
      <c r="A88" s="3" t="n">
        <v>46350</v>
      </c>
      <c r="B88" s="4" t="inlineStr">
        <is>
          <t>ORD-2026-0085</t>
        </is>
      </c>
      <c r="C88" s="4" t="inlineStr">
        <is>
          <t>최수아</t>
        </is>
      </c>
      <c r="D88" s="4" t="inlineStr">
        <is>
          <t>서울</t>
        </is>
      </c>
      <c r="E88" s="4" t="inlineStr">
        <is>
          <t>도서</t>
        </is>
      </c>
      <c r="F88" s="4" t="inlineStr">
        <is>
          <t>경제</t>
        </is>
      </c>
      <c r="G88" s="5" t="n">
        <v>4</v>
      </c>
      <c r="H88" s="6" t="n">
        <v>25000</v>
      </c>
      <c r="I88" s="6">
        <f>G88*H88</f>
        <v/>
      </c>
      <c r="J88" s="6">
        <f>I88*0.1</f>
        <v/>
      </c>
      <c r="K88" s="6">
        <f>I88+J88</f>
        <v/>
      </c>
      <c r="L88" s="4" t="inlineStr">
        <is>
          <t>김대리</t>
        </is>
      </c>
    </row>
    <row r="89" ht="20" customHeight="1">
      <c r="A89" s="7" t="n">
        <v>46351</v>
      </c>
      <c r="B89" s="8" t="inlineStr">
        <is>
          <t>ORD-2026-0086</t>
        </is>
      </c>
      <c r="C89" s="8" t="inlineStr">
        <is>
          <t>송준영</t>
        </is>
      </c>
      <c r="D89" s="8" t="inlineStr">
        <is>
          <t>광주</t>
        </is>
      </c>
      <c r="E89" s="8" t="inlineStr">
        <is>
          <t>도서</t>
        </is>
      </c>
      <c r="F89" s="8" t="inlineStr">
        <is>
          <t>에세이</t>
        </is>
      </c>
      <c r="G89" s="9" t="n">
        <v>6</v>
      </c>
      <c r="H89" s="10" t="n">
        <v>12000</v>
      </c>
      <c r="I89" s="10">
        <f>G89*H89</f>
        <v/>
      </c>
      <c r="J89" s="10">
        <f>I89*0.1</f>
        <v/>
      </c>
      <c r="K89" s="10">
        <f>I89+J89</f>
        <v/>
      </c>
      <c r="L89" s="8" t="inlineStr">
        <is>
          <t>박팀장</t>
        </is>
      </c>
    </row>
    <row r="90" ht="20" customHeight="1">
      <c r="A90" s="3" t="n">
        <v>46353</v>
      </c>
      <c r="B90" s="4" t="inlineStr">
        <is>
          <t>ORD-2026-0087</t>
        </is>
      </c>
      <c r="C90" s="4" t="inlineStr">
        <is>
          <t>최수아</t>
        </is>
      </c>
      <c r="D90" s="4" t="inlineStr">
        <is>
          <t>서울</t>
        </is>
      </c>
      <c r="E90" s="4" t="inlineStr">
        <is>
          <t>패션</t>
        </is>
      </c>
      <c r="F90" s="4" t="inlineStr">
        <is>
          <t>가방</t>
        </is>
      </c>
      <c r="G90" s="5" t="n">
        <v>2</v>
      </c>
      <c r="H90" s="6" t="n">
        <v>160000</v>
      </c>
      <c r="I90" s="6">
        <f>G90*H90</f>
        <v/>
      </c>
      <c r="J90" s="6">
        <f>I90*0.1</f>
        <v/>
      </c>
      <c r="K90" s="6">
        <f>I90+J90</f>
        <v/>
      </c>
      <c r="L90" s="4" t="inlineStr">
        <is>
          <t>김대리</t>
        </is>
      </c>
    </row>
    <row r="91" ht="20" customHeight="1">
      <c r="A91" s="7" t="n">
        <v>46354</v>
      </c>
      <c r="B91" s="8" t="inlineStr">
        <is>
          <t>ORD-2026-0088</t>
        </is>
      </c>
      <c r="C91" s="8" t="inlineStr">
        <is>
          <t>박지호</t>
        </is>
      </c>
      <c r="D91" s="8" t="inlineStr">
        <is>
          <t>강원</t>
        </is>
      </c>
      <c r="E91" s="8" t="inlineStr">
        <is>
          <t>도서</t>
        </is>
      </c>
      <c r="F91" s="8" t="inlineStr">
        <is>
          <t>자기계발</t>
        </is>
      </c>
      <c r="G91" s="9" t="n">
        <v>9</v>
      </c>
      <c r="H91" s="10" t="n">
        <v>26000</v>
      </c>
      <c r="I91" s="10">
        <f>G91*H91</f>
        <v/>
      </c>
      <c r="J91" s="10">
        <f>I91*0.1</f>
        <v/>
      </c>
      <c r="K91" s="10">
        <f>I91+J91</f>
        <v/>
      </c>
      <c r="L91" s="8" t="inlineStr">
        <is>
          <t>김대리</t>
        </is>
      </c>
    </row>
    <row r="92" ht="20" customHeight="1">
      <c r="A92" s="3" t="n">
        <v>46355</v>
      </c>
      <c r="B92" s="4" t="inlineStr">
        <is>
          <t>ORD-2026-0089</t>
        </is>
      </c>
      <c r="C92" s="4" t="inlineStr">
        <is>
          <t>안서윤</t>
        </is>
      </c>
      <c r="D92" s="4" t="inlineStr">
        <is>
          <t>광주</t>
        </is>
      </c>
      <c r="E92" s="4" t="inlineStr">
        <is>
          <t>가전</t>
        </is>
      </c>
      <c r="F92" s="4" t="inlineStr">
        <is>
          <t>TV</t>
        </is>
      </c>
      <c r="G92" s="5" t="n">
        <v>10</v>
      </c>
      <c r="H92" s="6" t="n">
        <v>1367000</v>
      </c>
      <c r="I92" s="6">
        <f>G92*H92</f>
        <v/>
      </c>
      <c r="J92" s="6">
        <f>I92*0.1</f>
        <v/>
      </c>
      <c r="K92" s="6">
        <f>I92+J92</f>
        <v/>
      </c>
      <c r="L92" s="4" t="inlineStr">
        <is>
          <t>박팀장</t>
        </is>
      </c>
    </row>
    <row r="93" ht="20" customHeight="1">
      <c r="A93" s="7" t="n">
        <v>46360</v>
      </c>
      <c r="B93" s="8" t="inlineStr">
        <is>
          <t>ORD-2026-0090</t>
        </is>
      </c>
      <c r="C93" s="8" t="inlineStr">
        <is>
          <t>황유나</t>
        </is>
      </c>
      <c r="D93" s="8" t="inlineStr">
        <is>
          <t>세종</t>
        </is>
      </c>
      <c r="E93" s="8" t="inlineStr">
        <is>
          <t>가전</t>
        </is>
      </c>
      <c r="F93" s="8" t="inlineStr">
        <is>
          <t>에어컨</t>
        </is>
      </c>
      <c r="G93" s="9" t="n">
        <v>9</v>
      </c>
      <c r="H93" s="10" t="n">
        <v>2744000</v>
      </c>
      <c r="I93" s="10">
        <f>G93*H93</f>
        <v/>
      </c>
      <c r="J93" s="10">
        <f>I93*0.1</f>
        <v/>
      </c>
      <c r="K93" s="10">
        <f>I93+J93</f>
        <v/>
      </c>
      <c r="L93" s="8" t="inlineStr">
        <is>
          <t>최주임</t>
        </is>
      </c>
    </row>
    <row r="94" ht="20" customHeight="1">
      <c r="A94" s="3" t="n">
        <v>46360</v>
      </c>
      <c r="B94" s="4" t="inlineStr">
        <is>
          <t>ORD-2026-0091</t>
        </is>
      </c>
      <c r="C94" s="4" t="inlineStr">
        <is>
          <t>조시우</t>
        </is>
      </c>
      <c r="D94" s="4" t="inlineStr">
        <is>
          <t>광주</t>
        </is>
      </c>
      <c r="E94" s="4" t="inlineStr">
        <is>
          <t>가구</t>
        </is>
      </c>
      <c r="F94" s="4" t="inlineStr">
        <is>
          <t>소파</t>
        </is>
      </c>
      <c r="G94" s="5" t="n">
        <v>2</v>
      </c>
      <c r="H94" s="6" t="n">
        <v>343000</v>
      </c>
      <c r="I94" s="6">
        <f>G94*H94</f>
        <v/>
      </c>
      <c r="J94" s="6">
        <f>I94*0.1</f>
        <v/>
      </c>
      <c r="K94" s="6">
        <f>I94+J94</f>
        <v/>
      </c>
      <c r="L94" s="4" t="inlineStr">
        <is>
          <t>이과장</t>
        </is>
      </c>
    </row>
    <row r="95" ht="20" customHeight="1">
      <c r="A95" s="7" t="n">
        <v>46362</v>
      </c>
      <c r="B95" s="8" t="inlineStr">
        <is>
          <t>ORD-2026-0092</t>
        </is>
      </c>
      <c r="C95" s="8" t="inlineStr">
        <is>
          <t>최수아</t>
        </is>
      </c>
      <c r="D95" s="8" t="inlineStr">
        <is>
          <t>대구</t>
        </is>
      </c>
      <c r="E95" s="8" t="inlineStr">
        <is>
          <t>식품</t>
        </is>
      </c>
      <c r="F95" s="8" t="inlineStr">
        <is>
          <t>견과류세트</t>
        </is>
      </c>
      <c r="G95" s="9" t="n">
        <v>7</v>
      </c>
      <c r="H95" s="10" t="n">
        <v>96000</v>
      </c>
      <c r="I95" s="10">
        <f>G95*H95</f>
        <v/>
      </c>
      <c r="J95" s="10">
        <f>I95*0.1</f>
        <v/>
      </c>
      <c r="K95" s="10">
        <f>I95+J95</f>
        <v/>
      </c>
      <c r="L95" s="8" t="inlineStr">
        <is>
          <t>최주임</t>
        </is>
      </c>
    </row>
    <row r="96" ht="20" customHeight="1">
      <c r="A96" s="3" t="n">
        <v>46362</v>
      </c>
      <c r="B96" s="4" t="inlineStr">
        <is>
          <t>ORD-2026-0093</t>
        </is>
      </c>
      <c r="C96" s="4" t="inlineStr">
        <is>
          <t>문가은</t>
        </is>
      </c>
      <c r="D96" s="4" t="inlineStr">
        <is>
          <t>대전</t>
        </is>
      </c>
      <c r="E96" s="4" t="inlineStr">
        <is>
          <t>전자제품</t>
        </is>
      </c>
      <c r="F96" s="4" t="inlineStr">
        <is>
          <t>스마트폰</t>
        </is>
      </c>
      <c r="G96" s="5" t="n">
        <v>5</v>
      </c>
      <c r="H96" s="6" t="n">
        <v>1242000</v>
      </c>
      <c r="I96" s="6">
        <f>G96*H96</f>
        <v/>
      </c>
      <c r="J96" s="6">
        <f>I96*0.1</f>
        <v/>
      </c>
      <c r="K96" s="6">
        <f>I96+J96</f>
        <v/>
      </c>
      <c r="L96" s="4" t="inlineStr">
        <is>
          <t>김대리</t>
        </is>
      </c>
    </row>
    <row r="97" ht="20" customHeight="1">
      <c r="A97" s="7" t="n">
        <v>46364</v>
      </c>
      <c r="B97" s="8" t="inlineStr">
        <is>
          <t>ORD-2026-0094</t>
        </is>
      </c>
      <c r="C97" s="8" t="inlineStr">
        <is>
          <t>안서윤</t>
        </is>
      </c>
      <c r="D97" s="8" t="inlineStr">
        <is>
          <t>대구</t>
        </is>
      </c>
      <c r="E97" s="8" t="inlineStr">
        <is>
          <t>도서</t>
        </is>
      </c>
      <c r="F97" s="8" t="inlineStr">
        <is>
          <t>소설</t>
        </is>
      </c>
      <c r="G97" s="9" t="n">
        <v>3</v>
      </c>
      <c r="H97" s="10" t="n">
        <v>27000</v>
      </c>
      <c r="I97" s="10">
        <f>G97*H97</f>
        <v/>
      </c>
      <c r="J97" s="10">
        <f>I97*0.1</f>
        <v/>
      </c>
      <c r="K97" s="10">
        <f>I97+J97</f>
        <v/>
      </c>
      <c r="L97" s="8" t="inlineStr">
        <is>
          <t>박팀장</t>
        </is>
      </c>
    </row>
    <row r="98" ht="20" customHeight="1">
      <c r="A98" s="3" t="n">
        <v>46364</v>
      </c>
      <c r="B98" s="4" t="inlineStr">
        <is>
          <t>ORD-2026-0095</t>
        </is>
      </c>
      <c r="C98" s="4" t="inlineStr">
        <is>
          <t>송준영</t>
        </is>
      </c>
      <c r="D98" s="4" t="inlineStr">
        <is>
          <t>세종</t>
        </is>
      </c>
      <c r="E98" s="4" t="inlineStr">
        <is>
          <t>식품</t>
        </is>
      </c>
      <c r="F98" s="4" t="inlineStr">
        <is>
          <t>견과류세트</t>
        </is>
      </c>
      <c r="G98" s="5" t="n">
        <v>8</v>
      </c>
      <c r="H98" s="6" t="n">
        <v>142000</v>
      </c>
      <c r="I98" s="6">
        <f>G98*H98</f>
        <v/>
      </c>
      <c r="J98" s="6">
        <f>I98*0.1</f>
        <v/>
      </c>
      <c r="K98" s="6">
        <f>I98+J98</f>
        <v/>
      </c>
      <c r="L98" s="4" t="inlineStr">
        <is>
          <t>최주임</t>
        </is>
      </c>
    </row>
    <row r="99" ht="20" customHeight="1">
      <c r="A99" s="7" t="n">
        <v>46369</v>
      </c>
      <c r="B99" s="8" t="inlineStr">
        <is>
          <t>ORD-2026-0096</t>
        </is>
      </c>
      <c r="C99" s="8" t="inlineStr">
        <is>
          <t>강하은</t>
        </is>
      </c>
      <c r="D99" s="8" t="inlineStr">
        <is>
          <t>강원</t>
        </is>
      </c>
      <c r="E99" s="8" t="inlineStr">
        <is>
          <t>식품</t>
        </is>
      </c>
      <c r="F99" s="8" t="inlineStr">
        <is>
          <t>견과류세트</t>
        </is>
      </c>
      <c r="G99" s="9" t="n">
        <v>7</v>
      </c>
      <c r="H99" s="10" t="n">
        <v>10000</v>
      </c>
      <c r="I99" s="10">
        <f>G99*H99</f>
        <v/>
      </c>
      <c r="J99" s="10">
        <f>I99*0.1</f>
        <v/>
      </c>
      <c r="K99" s="10">
        <f>I99+J99</f>
        <v/>
      </c>
      <c r="L99" s="8" t="inlineStr">
        <is>
          <t>이과장</t>
        </is>
      </c>
    </row>
    <row r="100" ht="20" customHeight="1">
      <c r="A100" s="3" t="n">
        <v>46370</v>
      </c>
      <c r="B100" s="4" t="inlineStr">
        <is>
          <t>ORD-2026-0097</t>
        </is>
      </c>
      <c r="C100" s="4" t="inlineStr">
        <is>
          <t>오시현</t>
        </is>
      </c>
      <c r="D100" s="4" t="inlineStr">
        <is>
          <t>인천</t>
        </is>
      </c>
      <c r="E100" s="4" t="inlineStr">
        <is>
          <t>패션</t>
        </is>
      </c>
      <c r="F100" s="4" t="inlineStr">
        <is>
          <t>운동화</t>
        </is>
      </c>
      <c r="G100" s="5" t="n">
        <v>10</v>
      </c>
      <c r="H100" s="6" t="n">
        <v>310000</v>
      </c>
      <c r="I100" s="6">
        <f>G100*H100</f>
        <v/>
      </c>
      <c r="J100" s="6">
        <f>I100*0.1</f>
        <v/>
      </c>
      <c r="K100" s="6">
        <f>I100+J100</f>
        <v/>
      </c>
      <c r="L100" s="4" t="inlineStr">
        <is>
          <t>박팀장</t>
        </is>
      </c>
    </row>
    <row r="101" ht="20" customHeight="1">
      <c r="A101" s="7" t="n">
        <v>46374</v>
      </c>
      <c r="B101" s="8" t="inlineStr">
        <is>
          <t>ORD-2026-0098</t>
        </is>
      </c>
      <c r="C101" s="8" t="inlineStr">
        <is>
          <t>조시우</t>
        </is>
      </c>
      <c r="D101" s="8" t="inlineStr">
        <is>
          <t>대전</t>
        </is>
      </c>
      <c r="E101" s="8" t="inlineStr">
        <is>
          <t>패션</t>
        </is>
      </c>
      <c r="F101" s="8" t="inlineStr">
        <is>
          <t>코트</t>
        </is>
      </c>
      <c r="G101" s="9" t="n">
        <v>6</v>
      </c>
      <c r="H101" s="10" t="n">
        <v>357000</v>
      </c>
      <c r="I101" s="10">
        <f>G101*H101</f>
        <v/>
      </c>
      <c r="J101" s="10">
        <f>I101*0.1</f>
        <v/>
      </c>
      <c r="K101" s="10">
        <f>I101+J101</f>
        <v/>
      </c>
      <c r="L101" s="8" t="inlineStr">
        <is>
          <t>이과장</t>
        </is>
      </c>
    </row>
    <row r="102" ht="20" customHeight="1">
      <c r="A102" s="3" t="n">
        <v>46379</v>
      </c>
      <c r="B102" s="4" t="inlineStr">
        <is>
          <t>ORD-2026-0099</t>
        </is>
      </c>
      <c r="C102" s="4" t="inlineStr">
        <is>
          <t>안서윤</t>
        </is>
      </c>
      <c r="D102" s="4" t="inlineStr">
        <is>
          <t>울산</t>
        </is>
      </c>
      <c r="E102" s="4" t="inlineStr">
        <is>
          <t>가전</t>
        </is>
      </c>
      <c r="F102" s="4" t="inlineStr">
        <is>
          <t>세탁기</t>
        </is>
      </c>
      <c r="G102" s="5" t="n">
        <v>5</v>
      </c>
      <c r="H102" s="6" t="n">
        <v>1113000</v>
      </c>
      <c r="I102" s="6">
        <f>G102*H102</f>
        <v/>
      </c>
      <c r="J102" s="6">
        <f>I102*0.1</f>
        <v/>
      </c>
      <c r="K102" s="6">
        <f>I102+J102</f>
        <v/>
      </c>
      <c r="L102" s="4" t="inlineStr">
        <is>
          <t>박팀장</t>
        </is>
      </c>
    </row>
    <row r="103" ht="20" customHeight="1">
      <c r="A103" s="7" t="n">
        <v>46379</v>
      </c>
      <c r="B103" s="8" t="inlineStr">
        <is>
          <t>ORD-2026-0100</t>
        </is>
      </c>
      <c r="C103" s="8" t="inlineStr">
        <is>
          <t>임채원</t>
        </is>
      </c>
      <c r="D103" s="8" t="inlineStr">
        <is>
          <t>세종</t>
        </is>
      </c>
      <c r="E103" s="8" t="inlineStr">
        <is>
          <t>가전</t>
        </is>
      </c>
      <c r="F103" s="8" t="inlineStr">
        <is>
          <t>세탁기</t>
        </is>
      </c>
      <c r="G103" s="9" t="n">
        <v>7</v>
      </c>
      <c r="H103" s="10" t="n">
        <v>2989000</v>
      </c>
      <c r="I103" s="10">
        <f>G103*H103</f>
        <v/>
      </c>
      <c r="J103" s="10">
        <f>I103*0.1</f>
        <v/>
      </c>
      <c r="K103" s="10">
        <f>I103+J103</f>
        <v/>
      </c>
      <c r="L103" s="8" t="inlineStr">
        <is>
          <t>최주임</t>
        </is>
      </c>
    </row>
  </sheetData>
  <autoFilter ref="A3:L103"/>
  <mergeCells count="1">
    <mergeCell ref="A1:L1"/>
  </mergeCells>
  <conditionalFormatting sqref="K4:K103">
    <cfRule type="colorScale" priority="1">
      <colorScale>
        <cfvo type="min"/>
        <cfvo type="percentile" val="50"/>
        <cfvo type="max"/>
        <color rgb="00FFFFFF"/>
        <color rgb="00FFEB84"/>
        <color rgb="00F8696B"/>
      </colorScale>
    </cfRule>
  </conditionalFormatting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" customWidth="1" min="4" max="4"/>
    <col width="10" customWidth="1" min="5" max="5"/>
    <col width="18" customWidth="1" min="6" max="6"/>
    <col width="10" customWidth="1" min="7" max="7"/>
    <col width="2" customWidth="1" min="8" max="8"/>
    <col width="12" customWidth="1" min="9" max="9"/>
    <col width="18" customWidth="1" min="10" max="10"/>
    <col width="10" customWidth="1" min="11" max="11"/>
  </cols>
  <sheetData>
    <row r="1" ht="28" customHeight="1">
      <c r="A1" s="1" t="inlineStr">
        <is>
          <t>📊 월별 / 지역별 / 카테고리별 매출 요약</t>
        </is>
      </c>
      <c r="B1" s="1" t="n"/>
      <c r="C1" s="1" t="n"/>
    </row>
    <row r="2" ht="10" customHeight="1"/>
    <row r="3" ht="22" customHeight="1">
      <c r="A3" s="2" t="inlineStr">
        <is>
          <t>연월</t>
        </is>
      </c>
      <c r="B3" s="2" t="inlineStr">
        <is>
          <t>매출합계</t>
        </is>
      </c>
      <c r="C3" s="2" t="inlineStr">
        <is>
          <t>주문건수</t>
        </is>
      </c>
      <c r="E3" s="11" t="inlineStr">
        <is>
          <t>지역</t>
        </is>
      </c>
      <c r="F3" s="11" t="inlineStr">
        <is>
          <t>매출합계</t>
        </is>
      </c>
      <c r="G3" s="11" t="inlineStr">
        <is>
          <t>비중</t>
        </is>
      </c>
      <c r="I3" s="12" t="inlineStr">
        <is>
          <t>카테고리</t>
        </is>
      </c>
      <c r="J3" s="12" t="inlineStr">
        <is>
          <t>매출합계</t>
        </is>
      </c>
      <c r="K3" s="12" t="inlineStr">
        <is>
          <t>비중</t>
        </is>
      </c>
    </row>
    <row r="4" ht="20" customHeight="1">
      <c r="A4" s="4" t="inlineStr">
        <is>
          <t>2026-01</t>
        </is>
      </c>
      <c r="B4" s="6">
        <f>SUMIFS(최종금액_R,거래일자_R,"&gt;="&amp;DATE(2026,1,1),거래일자_R,"&lt;="&amp;EOMONTH(DATE(2026,1,1),0))</f>
        <v/>
      </c>
      <c r="C4" s="5">
        <f>SUMPRODUCT((MONTH(거래일자_R)=1)*(YEAR(거래일자_R)=2026)*1)</f>
        <v/>
      </c>
      <c r="E4" t="inlineStr">
        <is>
          <t>서울</t>
        </is>
      </c>
      <c r="F4" s="13">
        <f>SUMIFS(최종금액_R, 지역_R, E4)</f>
        <v/>
      </c>
      <c r="G4" s="14">
        <f>IFERROR(F4/SUM($F$4:$F$13),0)</f>
        <v/>
      </c>
      <c r="I4" t="inlineStr">
        <is>
          <t>전자제품</t>
        </is>
      </c>
      <c r="J4" s="13">
        <f>SUMIFS(최종금액_R, 카테고리_R, I4)</f>
        <v/>
      </c>
      <c r="K4" s="14">
        <f>IFERROR(J4/SUM($J$4:$J$9),0)</f>
        <v/>
      </c>
    </row>
    <row r="5" ht="20" customHeight="1">
      <c r="A5" s="8" t="inlineStr">
        <is>
          <t>2026-02</t>
        </is>
      </c>
      <c r="B5" s="10">
        <f>SUMIFS(최종금액_R,거래일자_R,"&gt;="&amp;DATE(2026,2,1),거래일자_R,"&lt;="&amp;EOMONTH(DATE(2026,2,1),0))</f>
        <v/>
      </c>
      <c r="C5" s="9">
        <f>SUMPRODUCT((MONTH(거래일자_R)=2)*(YEAR(거래일자_R)=2026)*1)</f>
        <v/>
      </c>
      <c r="E5" t="inlineStr">
        <is>
          <t>경기</t>
        </is>
      </c>
      <c r="F5" s="13">
        <f>SUMIFS(최종금액_R, 지역_R, E5)</f>
        <v/>
      </c>
      <c r="G5" s="14">
        <f>IFERROR(F5/SUM($F$4:$F$13),0)</f>
        <v/>
      </c>
      <c r="I5" t="inlineStr">
        <is>
          <t>가전</t>
        </is>
      </c>
      <c r="J5" s="13">
        <f>SUMIFS(최종금액_R, 카테고리_R, I5)</f>
        <v/>
      </c>
      <c r="K5" s="14">
        <f>IFERROR(J5/SUM($J$4:$J$9),0)</f>
        <v/>
      </c>
    </row>
    <row r="6" ht="20" customHeight="1">
      <c r="A6" s="4" t="inlineStr">
        <is>
          <t>2026-03</t>
        </is>
      </c>
      <c r="B6" s="6">
        <f>SUMIFS(최종금액_R,거래일자_R,"&gt;="&amp;DATE(2026,3,1),거래일자_R,"&lt;="&amp;EOMONTH(DATE(2026,3,1),0))</f>
        <v/>
      </c>
      <c r="C6" s="5">
        <f>SUMPRODUCT((MONTH(거래일자_R)=3)*(YEAR(거래일자_R)=2026)*1)</f>
        <v/>
      </c>
      <c r="E6" t="inlineStr">
        <is>
          <t>인천</t>
        </is>
      </c>
      <c r="F6" s="13">
        <f>SUMIFS(최종금액_R, 지역_R, E6)</f>
        <v/>
      </c>
      <c r="G6" s="14">
        <f>IFERROR(F6/SUM($F$4:$F$13),0)</f>
        <v/>
      </c>
      <c r="I6" t="inlineStr">
        <is>
          <t>가구</t>
        </is>
      </c>
      <c r="J6" s="13">
        <f>SUMIFS(최종금액_R, 카테고리_R, I6)</f>
        <v/>
      </c>
      <c r="K6" s="14">
        <f>IFERROR(J6/SUM($J$4:$J$9),0)</f>
        <v/>
      </c>
    </row>
    <row r="7" ht="20" customHeight="1">
      <c r="A7" s="8" t="inlineStr">
        <is>
          <t>2026-04</t>
        </is>
      </c>
      <c r="B7" s="10">
        <f>SUMIFS(최종금액_R,거래일자_R,"&gt;="&amp;DATE(2026,4,1),거래일자_R,"&lt;="&amp;EOMONTH(DATE(2026,4,1),0))</f>
        <v/>
      </c>
      <c r="C7" s="9">
        <f>SUMPRODUCT((MONTH(거래일자_R)=4)*(YEAR(거래일자_R)=2026)*1)</f>
        <v/>
      </c>
      <c r="E7" t="inlineStr">
        <is>
          <t>부산</t>
        </is>
      </c>
      <c r="F7" s="13">
        <f>SUMIFS(최종금액_R, 지역_R, E7)</f>
        <v/>
      </c>
      <c r="G7" s="14">
        <f>IFERROR(F7/SUM($F$4:$F$13),0)</f>
        <v/>
      </c>
      <c r="I7" t="inlineStr">
        <is>
          <t>패션</t>
        </is>
      </c>
      <c r="J7" s="13">
        <f>SUMIFS(최종금액_R, 카테고리_R, I7)</f>
        <v/>
      </c>
      <c r="K7" s="14">
        <f>IFERROR(J7/SUM($J$4:$J$9),0)</f>
        <v/>
      </c>
    </row>
    <row r="8" ht="20" customHeight="1">
      <c r="A8" s="4" t="inlineStr">
        <is>
          <t>2026-05</t>
        </is>
      </c>
      <c r="B8" s="6">
        <f>SUMIFS(최종금액_R,거래일자_R,"&gt;="&amp;DATE(2026,5,1),거래일자_R,"&lt;="&amp;EOMONTH(DATE(2026,5,1),0))</f>
        <v/>
      </c>
      <c r="C8" s="5">
        <f>SUMPRODUCT((MONTH(거래일자_R)=5)*(YEAR(거래일자_R)=2026)*1)</f>
        <v/>
      </c>
      <c r="E8" t="inlineStr">
        <is>
          <t>대구</t>
        </is>
      </c>
      <c r="F8" s="13">
        <f>SUMIFS(최종금액_R, 지역_R, E8)</f>
        <v/>
      </c>
      <c r="G8" s="14">
        <f>IFERROR(F8/SUM($F$4:$F$13),0)</f>
        <v/>
      </c>
      <c r="I8" t="inlineStr">
        <is>
          <t>식품</t>
        </is>
      </c>
      <c r="J8" s="13">
        <f>SUMIFS(최종금액_R, 카테고리_R, I8)</f>
        <v/>
      </c>
      <c r="K8" s="14">
        <f>IFERROR(J8/SUM($J$4:$J$9),0)</f>
        <v/>
      </c>
    </row>
    <row r="9" ht="20" customHeight="1">
      <c r="A9" s="8" t="inlineStr">
        <is>
          <t>2026-06</t>
        </is>
      </c>
      <c r="B9" s="10">
        <f>SUMIFS(최종금액_R,거래일자_R,"&gt;="&amp;DATE(2026,6,1),거래일자_R,"&lt;="&amp;EOMONTH(DATE(2026,6,1),0))</f>
        <v/>
      </c>
      <c r="C9" s="9">
        <f>SUMPRODUCT((MONTH(거래일자_R)=6)*(YEAR(거래일자_R)=2026)*1)</f>
        <v/>
      </c>
      <c r="E9" t="inlineStr">
        <is>
          <t>대전</t>
        </is>
      </c>
      <c r="F9" s="13">
        <f>SUMIFS(최종금액_R, 지역_R, E9)</f>
        <v/>
      </c>
      <c r="G9" s="14">
        <f>IFERROR(F9/SUM($F$4:$F$13),0)</f>
        <v/>
      </c>
      <c r="I9" t="inlineStr">
        <is>
          <t>도서</t>
        </is>
      </c>
      <c r="J9" s="13">
        <f>SUMIFS(최종금액_R, 카테고리_R, I9)</f>
        <v/>
      </c>
      <c r="K9" s="14">
        <f>IFERROR(J9/SUM($J$4:$J$9),0)</f>
        <v/>
      </c>
    </row>
    <row r="10" ht="20" customHeight="1">
      <c r="A10" s="4" t="inlineStr">
        <is>
          <t>2026-07</t>
        </is>
      </c>
      <c r="B10" s="6">
        <f>SUMIFS(최종금액_R,거래일자_R,"&gt;="&amp;DATE(2026,7,1),거래일자_R,"&lt;="&amp;EOMONTH(DATE(2026,7,1),0))</f>
        <v/>
      </c>
      <c r="C10" s="5">
        <f>SUMPRODUCT((MONTH(거래일자_R)=7)*(YEAR(거래일자_R)=2026)*1)</f>
        <v/>
      </c>
      <c r="E10" t="inlineStr">
        <is>
          <t>광주</t>
        </is>
      </c>
      <c r="F10" s="13">
        <f>SUMIFS(최종금액_R, 지역_R, E10)</f>
        <v/>
      </c>
      <c r="G10" s="14">
        <f>IFERROR(F10/SUM($F$4:$F$13),0)</f>
        <v/>
      </c>
    </row>
    <row r="11" ht="20" customHeight="1">
      <c r="A11" s="8" t="inlineStr">
        <is>
          <t>2026-08</t>
        </is>
      </c>
      <c r="B11" s="10">
        <f>SUMIFS(최종금액_R,거래일자_R,"&gt;="&amp;DATE(2026,8,1),거래일자_R,"&lt;="&amp;EOMONTH(DATE(2026,8,1),0))</f>
        <v/>
      </c>
      <c r="C11" s="9">
        <f>SUMPRODUCT((MONTH(거래일자_R)=8)*(YEAR(거래일자_R)=2026)*1)</f>
        <v/>
      </c>
      <c r="E11" t="inlineStr">
        <is>
          <t>울산</t>
        </is>
      </c>
      <c r="F11" s="13">
        <f>SUMIFS(최종금액_R, 지역_R, E11)</f>
        <v/>
      </c>
      <c r="G11" s="14">
        <f>IFERROR(F11/SUM($F$4:$F$13),0)</f>
        <v/>
      </c>
    </row>
    <row r="12" ht="20" customHeight="1">
      <c r="A12" s="4" t="inlineStr">
        <is>
          <t>2026-09</t>
        </is>
      </c>
      <c r="B12" s="6">
        <f>SUMIFS(최종금액_R,거래일자_R,"&gt;="&amp;DATE(2026,9,1),거래일자_R,"&lt;="&amp;EOMONTH(DATE(2026,9,1),0))</f>
        <v/>
      </c>
      <c r="C12" s="5">
        <f>SUMPRODUCT((MONTH(거래일자_R)=9)*(YEAR(거래일자_R)=2026)*1)</f>
        <v/>
      </c>
      <c r="E12" t="inlineStr">
        <is>
          <t>세종</t>
        </is>
      </c>
      <c r="F12" s="13">
        <f>SUMIFS(최종금액_R, 지역_R, E12)</f>
        <v/>
      </c>
      <c r="G12" s="14">
        <f>IFERROR(F12/SUM($F$4:$F$13),0)</f>
        <v/>
      </c>
    </row>
    <row r="13" ht="20" customHeight="1">
      <c r="A13" s="8" t="inlineStr">
        <is>
          <t>2026-10</t>
        </is>
      </c>
      <c r="B13" s="10">
        <f>SUMIFS(최종금액_R,거래일자_R,"&gt;="&amp;DATE(2026,10,1),거래일자_R,"&lt;="&amp;EOMONTH(DATE(2026,10,1),0))</f>
        <v/>
      </c>
      <c r="C13" s="9">
        <f>SUMPRODUCT((MONTH(거래일자_R)=10)*(YEAR(거래일자_R)=2026)*1)</f>
        <v/>
      </c>
      <c r="E13" t="inlineStr">
        <is>
          <t>강원</t>
        </is>
      </c>
      <c r="F13" s="13">
        <f>SUMIFS(최종금액_R, 지역_R, E13)</f>
        <v/>
      </c>
      <c r="G13" s="14">
        <f>IFERROR(F13/SUM($F$4:$F$13),0)</f>
        <v/>
      </c>
    </row>
    <row r="14" ht="20" customHeight="1">
      <c r="A14" s="4" t="inlineStr">
        <is>
          <t>2026-11</t>
        </is>
      </c>
      <c r="B14" s="6">
        <f>SUMIFS(최종금액_R,거래일자_R,"&gt;="&amp;DATE(2026,11,1),거래일자_R,"&lt;="&amp;EOMONTH(DATE(2026,11,1),0))</f>
        <v/>
      </c>
      <c r="C14" s="5">
        <f>SUMPRODUCT((MONTH(거래일자_R)=11)*(YEAR(거래일자_R)=2026)*1)</f>
        <v/>
      </c>
    </row>
    <row r="15" ht="20" customHeight="1">
      <c r="A15" s="8" t="inlineStr">
        <is>
          <t>2026-12</t>
        </is>
      </c>
      <c r="B15" s="10">
        <f>SUMIFS(최종금액_R,거래일자_R,"&gt;="&amp;DATE(2026,12,1),거래일자_R,"&lt;="&amp;EOMONTH(DATE(2026,12,1),0))</f>
        <v/>
      </c>
      <c r="C15" s="9">
        <f>SUMPRODUCT((MONTH(거래일자_R)=12)*(YEAR(거래일자_R)=2026)*1)</f>
        <v/>
      </c>
    </row>
    <row r="16">
      <c r="A16" s="15" t="inlineStr">
        <is>
          <t>합계</t>
        </is>
      </c>
      <c r="B16" s="16">
        <f>SUM(B4:B15)</f>
        <v/>
      </c>
      <c r="C16" s="17">
        <f>SUM(C4:C15)</f>
        <v/>
      </c>
    </row>
    <row r="18">
      <c r="A18" s="18" t="inlineStr">
        <is>
          <t>ℹ 이 요약표는 SUMIFS 기반 라이브 집계입니다. 원본데이터 변경 후 F9(재계산)만 누르면 즉시 갱신됩니다 — 피벗 새로고침 불필요.</t>
        </is>
      </c>
    </row>
  </sheetData>
  <mergeCells count="2">
    <mergeCell ref="A1:C1"/>
    <mergeCell ref="A18:K18"/>
  </mergeCells>
  <conditionalFormatting sqref="B4:B15">
    <cfRule type="dataBar" priority="1">
      <dataBar>
        <cfvo type="min"/>
        <cfvo type="max"/>
        <color rgb="00638EC6"/>
      </dataBar>
    </cfRule>
  </conditionalFormatting>
  <conditionalFormatting sqref="F4:F13">
    <cfRule type="colorScale" priority="2">
      <colorScale>
        <cfvo type="min"/>
        <cfvo type="percentile" val="50"/>
        <cfvo type="max"/>
        <color rgb="00FFFFFF"/>
        <color rgb="00FFEB84"/>
        <color rgb="0063BE7B"/>
      </colorScale>
    </cfRule>
  </conditionalFormatting>
  <conditionalFormatting sqref="K4:K9">
    <cfRule type="dataBar" priority="3">
      <dataBar>
        <cfvo type="min"/>
        <cfvo type="max"/>
        <color rgb="0070AD47"/>
      </dataBar>
    </cfRule>
  </conditionalFormatting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Q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" customWidth="1" min="14" max="14"/>
    <col width="14" customWidth="1" min="16" max="16"/>
    <col width="16" customWidth="1" min="17" max="17"/>
  </cols>
  <sheetData>
    <row r="2">
      <c r="B2" s="19" t="inlineStr">
        <is>
          <t>🎯 매출 대시보드 — 2026</t>
        </is>
      </c>
    </row>
    <row r="3"/>
    <row r="4">
      <c r="P4" t="inlineStr">
        <is>
          <t>월</t>
        </is>
      </c>
      <c r="Q4" t="inlineStr">
        <is>
          <t>매출</t>
        </is>
      </c>
    </row>
    <row r="5" ht="24" customHeight="1">
      <c r="B5" s="20" t="inlineStr">
        <is>
          <t>💰 총매출</t>
        </is>
      </c>
      <c r="C5" s="21" t="n"/>
      <c r="D5" s="21" t="n"/>
      <c r="E5" s="20" t="inlineStr">
        <is>
          <t>📊 평균주문금액</t>
        </is>
      </c>
      <c r="F5" s="21" t="n"/>
      <c r="G5" s="21" t="n"/>
      <c r="H5" s="20" t="inlineStr">
        <is>
          <t>🏆 최고매출지역</t>
        </is>
      </c>
      <c r="I5" s="21" t="n"/>
      <c r="J5" s="21" t="n"/>
      <c r="K5" s="20" t="inlineStr">
        <is>
          <t>🧾 총주문수</t>
        </is>
      </c>
      <c r="L5" s="21" t="n"/>
      <c r="M5" s="21" t="n"/>
      <c r="P5" t="inlineStr">
        <is>
          <t>1월</t>
        </is>
      </c>
      <c r="Q5" s="22">
        <f>'월별요약'!B4</f>
        <v/>
      </c>
    </row>
    <row r="6" ht="36" customHeight="1">
      <c r="B6" s="23">
        <f>SUM('원본데이터'!$K$4:$K$103)</f>
        <v/>
      </c>
      <c r="C6" s="21" t="n"/>
      <c r="D6" s="21" t="n"/>
      <c r="E6" s="23">
        <f>IFERROR(SUM('원본데이터'!$K$4:$K$103)/COUNTA('원본데이터'!$B$4:$B$103),0)</f>
        <v/>
      </c>
      <c r="F6" s="21" t="n"/>
      <c r="G6" s="21" t="n"/>
      <c r="H6" s="24">
        <f>INDEX('월별요약'!E$4:E$13,MATCH(MAX('월별요약'!F$4:F$13),'월별요약'!F$4:F$13,0))</f>
        <v/>
      </c>
      <c r="I6" s="21" t="n"/>
      <c r="J6" s="21" t="n"/>
      <c r="K6" s="25">
        <f>COUNTA('원본데이터'!$B$4:$B$103)</f>
        <v/>
      </c>
      <c r="L6" s="21" t="n"/>
      <c r="M6" s="21" t="n"/>
      <c r="P6" t="inlineStr">
        <is>
          <t>2월</t>
        </is>
      </c>
      <c r="Q6" s="22">
        <f>'월별요약'!B5</f>
        <v/>
      </c>
    </row>
    <row r="7">
      <c r="P7" t="inlineStr">
        <is>
          <t>3월</t>
        </is>
      </c>
      <c r="Q7" s="22">
        <f>'월별요약'!B6</f>
        <v/>
      </c>
    </row>
    <row r="8">
      <c r="P8" t="inlineStr">
        <is>
          <t>4월</t>
        </is>
      </c>
      <c r="Q8" s="22">
        <f>'월별요약'!B7</f>
        <v/>
      </c>
    </row>
    <row r="9">
      <c r="P9" t="inlineStr">
        <is>
          <t>5월</t>
        </is>
      </c>
      <c r="Q9" s="22">
        <f>'월별요약'!B8</f>
        <v/>
      </c>
    </row>
    <row r="10">
      <c r="P10" t="inlineStr">
        <is>
          <t>6월</t>
        </is>
      </c>
      <c r="Q10" s="22">
        <f>'월별요약'!B9</f>
        <v/>
      </c>
    </row>
    <row r="11">
      <c r="P11" t="inlineStr">
        <is>
          <t>7월</t>
        </is>
      </c>
      <c r="Q11" s="22">
        <f>'월별요약'!B10</f>
        <v/>
      </c>
    </row>
    <row r="12">
      <c r="P12" t="inlineStr">
        <is>
          <t>8월</t>
        </is>
      </c>
      <c r="Q12" s="22">
        <f>'월별요약'!B11</f>
        <v/>
      </c>
    </row>
    <row r="13">
      <c r="P13" t="inlineStr">
        <is>
          <t>9월</t>
        </is>
      </c>
      <c r="Q13" s="22">
        <f>'월별요약'!B12</f>
        <v/>
      </c>
    </row>
    <row r="14">
      <c r="P14" t="inlineStr">
        <is>
          <t>10월</t>
        </is>
      </c>
      <c r="Q14" s="22">
        <f>'월별요약'!B13</f>
        <v/>
      </c>
    </row>
    <row r="15">
      <c r="P15" t="inlineStr">
        <is>
          <t>11월</t>
        </is>
      </c>
      <c r="Q15" s="22">
        <f>'월별요약'!B14</f>
        <v/>
      </c>
    </row>
    <row r="16">
      <c r="P16" t="inlineStr">
        <is>
          <t>12월</t>
        </is>
      </c>
      <c r="Q16" s="22">
        <f>'월별요약'!B15</f>
        <v/>
      </c>
    </row>
    <row r="17"/>
    <row r="18">
      <c r="P18" t="inlineStr">
        <is>
          <t>지역(TOP5)</t>
        </is>
      </c>
      <c r="Q18" t="inlineStr">
        <is>
          <t>매출</t>
        </is>
      </c>
    </row>
    <row r="19">
      <c r="P19">
        <f>INDEX('월별요약'!$E$4:$E$13,MATCH(LARGE('월별요약'!$F$4:$F$13,1),'월별요약'!$F$4:$F$13,0))</f>
        <v/>
      </c>
      <c r="Q19" s="22">
        <f>LARGE('월별요약'!$F$4:$F$13,1)</f>
        <v/>
      </c>
    </row>
    <row r="20">
      <c r="P20">
        <f>INDEX('월별요약'!$E$4:$E$13,MATCH(LARGE('월별요약'!$F$4:$F$13,2),'월별요약'!$F$4:$F$13,0))</f>
        <v/>
      </c>
      <c r="Q20" s="22">
        <f>LARGE('월별요약'!$F$4:$F$13,2)</f>
        <v/>
      </c>
    </row>
    <row r="21">
      <c r="P21">
        <f>INDEX('월별요약'!$E$4:$E$13,MATCH(LARGE('월별요약'!$F$4:$F$13,3),'월별요약'!$F$4:$F$13,0))</f>
        <v/>
      </c>
      <c r="Q21" s="22">
        <f>LARGE('월별요약'!$F$4:$F$13,3)</f>
        <v/>
      </c>
    </row>
    <row r="22">
      <c r="P22">
        <f>INDEX('월별요약'!$E$4:$E$13,MATCH(LARGE('월별요약'!$F$4:$F$13,4),'월별요약'!$F$4:$F$13,0))</f>
        <v/>
      </c>
      <c r="Q22" s="22">
        <f>LARGE('월별요약'!$F$4:$F$13,4)</f>
        <v/>
      </c>
    </row>
    <row r="23">
      <c r="P23">
        <f>INDEX('월별요약'!$E$4:$E$13,MATCH(LARGE('월별요약'!$F$4:$F$13,5),'월별요약'!$F$4:$F$13,0))</f>
        <v/>
      </c>
      <c r="Q23" s="22">
        <f>LARGE('월별요약'!$F$4:$F$13,5)</f>
        <v/>
      </c>
    </row>
    <row r="24"/>
    <row r="25"/>
    <row r="26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</sheetData>
  <mergeCells count="9">
    <mergeCell ref="B5:D5"/>
    <mergeCell ref="B2:M3"/>
    <mergeCell ref="E5:G5"/>
    <mergeCell ref="K5:M5"/>
    <mergeCell ref="H5:J5"/>
    <mergeCell ref="K6:M6"/>
    <mergeCell ref="B6:D6"/>
    <mergeCell ref="E6:G6"/>
    <mergeCell ref="H6:J6"/>
  </mergeCells>
  <conditionalFormatting sqref="Q19:Q23">
    <cfRule type="colorScale" priority="1">
      <colorScale>
        <cfvo type="min"/>
        <cfvo type="max"/>
        <color rgb="00FFEB84"/>
        <color rgb="0063BE7B"/>
      </colorScale>
    </cfRule>
  </conditionalFormatting>
  <conditionalFormatting sqref="Q5:Q16">
    <cfRule type="dataBar" priority="2">
      <dataBar>
        <cfvo type="min"/>
        <cfvo type="max"/>
        <color rgb="00638EC6"/>
      </dataBar>
    </cfRule>
  </conditionalFormatting>
  <printOptions horizontalCentered="1"/>
  <pageMargins left="0.3" right="0.3" top="0.5" bottom="0.5" header="0.2" footer="0.2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2026-05-26T02:08:33Z</dcterms:created>
  <dcterms:modified xsi:type="dcterms:W3CDTF">2026-05-26T02:08:33Z</dcterms:modified>
</cp:coreProperties>
</file>